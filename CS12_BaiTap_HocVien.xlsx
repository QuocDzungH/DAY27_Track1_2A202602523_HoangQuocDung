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Tình huống" sheetId="2" r:id="rId6"/>
    <sheet state="visible" name="Bài 1" sheetId="3" r:id="rId7"/>
    <sheet state="visible" name="Bài 2" sheetId="4" r:id="rId8"/>
    <sheet state="visible" name="Bài 3" sheetId="5" r:id="rId9"/>
    <sheet state="visible" name="Bài 4" sheetId="6" r:id="rId10"/>
    <sheet state="visible" name="Bài 5" sheetId="7" r:id="rId11"/>
    <sheet state="visible" name="Xưởng" sheetId="8" r:id="rId12"/>
    <sheet state="visible" name="Thang điểm" sheetId="9" r:id="rId13"/>
    <sheet state="visible" name="Tổng hợp" sheetId="10" r:id="rId14"/>
    <sheet state="hidden" name="_ds" sheetId="11" r:id="rId15"/>
  </sheets>
  <definedNames/>
  <calcPr/>
</workbook>
</file>

<file path=xl/sharedStrings.xml><?xml version="1.0" encoding="utf-8"?>
<sst xmlns="http://schemas.openxmlformats.org/spreadsheetml/2006/main" count="987" uniqueCount="650">
  <si>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</si>
  <si>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</si>
  <si>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</si>
  <si>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</si>
  <si>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</si>
  <si>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</si>
  <si>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</si>
  <si>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</si>
  <si>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</si>
  <si>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</si>
  <si>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</si>
  <si>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</si>
  <si>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</si>
  <si>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</si>
  <si>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</si>
  <si>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</si>
  <si>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</si>
  <si>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</si>
  <si>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</si>
  <si>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</si>
  <si>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</si>
  <si>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</si>
  <si>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</si>
  <si>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</si>
  <si>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</si>
  <si>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</si>
  <si>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</si>
  <si>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</si>
  <si>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</si>
  <si>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</si>
  <si>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</si>
  <si>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</si>
  <si>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</si>
  <si>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</si>
  <si>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</si>
  <si>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</si>
  <si>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</si>
  <si>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</si>
  <si>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</si>
  <si>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</si>
  <si>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</si>
  <si>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</si>
  <si>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</si>
  <si>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</si>
  <si>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</si>
  <si>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</si>
  <si>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</si>
  <si>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</si>
  <si>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</si>
  <si>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</si>
  <si>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</si>
  <si>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</si>
  <si>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</si>
  <si>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</si>
  <si>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</si>
  <si>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</si>
  <si>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</si>
  <si>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</si>
  <si>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</si>
  <si>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</si>
  <si>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</si>
  <si>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</si>
  <si>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</si>
  <si>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</si>
  <si>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</si>
  <si>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</si>
  <si>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</si>
  <si>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</si>
  <si>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</si>
  <si>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</si>
  <si>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</si>
  <si>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</si>
  <si>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</si>
  <si>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</si>
  <si>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</si>
  <si>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</si>
  <si>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</si>
  <si>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</si>
  <si>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</si>
  <si>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</si>
  <si>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</si>
  <si>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</si>
  <si>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</si>
  <si>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</si>
  <si>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</si>
  <si>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</si>
  <si>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</si>
  <si>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</si>
  <si>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</si>
  <si>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</si>
  <si>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</si>
  <si>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</si>
  <si>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</si>
  <si>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</si>
  <si>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</si>
  <si>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</si>
  <si>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</si>
  <si>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</si>
  <si>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</si>
  <si>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</si>
  <si>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</si>
  <si>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</si>
  <si>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</si>
  <si>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</si>
  <si>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</si>
  <si>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</si>
  <si>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</si>
  <si>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</si>
  <si>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</si>
  <si>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</si>
  <si>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</si>
  <si>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</si>
  <si>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</si>
  <si>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</si>
  <si>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</si>
  <si>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</si>
  <si>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</si>
  <si>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</si>
  <si>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</si>
  <si>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</si>
  <si>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</si>
  <si>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</si>
  <si>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</si>
  <si>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</si>
  <si>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</si>
  <si>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</si>
  <si>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</si>
  <si>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</si>
  <si>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</si>
  <si>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</si>
  <si>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</si>
  <si>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</si>
  <si>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</si>
  <si>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</si>
  <si>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</si>
  <si>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</si>
  <si>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</si>
  <si>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</si>
  <si>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</si>
  <si>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</si>
  <si>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</si>
  <si>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</si>
  <si>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</si>
  <si>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</si>
  <si>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</si>
  <si>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</si>
  <si>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</si>
  <si>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</si>
  <si>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</si>
  <si>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</si>
  <si>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</si>
  <si>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</si>
  <si>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</si>
  <si>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</si>
  <si>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</si>
  <si>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</si>
  <si>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</si>
  <si>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</si>
  <si>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</si>
  <si>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</si>
  <si>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</si>
  <si>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</si>
  <si>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</si>
  <si>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</si>
  <si>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</si>
  <si>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</si>
  <si>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</si>
  <si>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</si>
  <si>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</si>
  <si>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</si>
  <si>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</si>
  <si>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</si>
  <si>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</si>
  <si>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</si>
  <si>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</si>
  <si>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</si>
  <si>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</si>
  <si>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</si>
  <si>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</si>
  <si>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</si>
  <si>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</si>
  <si>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</si>
  <si>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</si>
  <si>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</si>
  <si>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</si>
  <si>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</si>
  <si>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</si>
  <si>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</si>
  <si>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</si>
  <si>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</si>
  <si>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</si>
  <si>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</si>
  <si>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</si>
  <si>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</si>
  <si>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</si>
  <si>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</si>
  <si>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</si>
  <si>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</si>
  <si>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</si>
  <si>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</si>
  <si>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</si>
  <si>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</si>
  <si>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</si>
  <si>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</si>
  <si>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</si>
  <si>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</si>
  <si>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</si>
  <si>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</si>
  <si>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</si>
  <si>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</si>
  <si>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</si>
  <si>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</si>
  <si>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</si>
  <si>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</si>
  <si>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</si>
  <si>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</si>
  <si>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</si>
  <si>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</si>
  <si>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Có</t>
  </si>
  <si>
    <t>1.4</t>
  </si>
  <si>
    <t>Tỷ lệ đúng của nhóm Tra cứu đơn ở v1.4 là bao nhiêu? (gõ kèm %)</t>
  </si>
  <si>
    <t>1.5</t>
  </si>
  <si>
    <t>Nhóm Tra cứu đơn tụt bao nhiêu điểm phần trăm? (gõ một số)</t>
  </si>
  <si>
    <t>1.6</t>
  </si>
  <si>
    <t>Kết luận nào đúng?</t>
  </si>
  <si>
    <t>B</t>
  </si>
  <si>
    <t>1.7</t>
  </si>
  <si>
    <t>Muốn tin một khoảng chênh 3 điểm phần trăm là thật (độ tin 95%), cần khoảng bao nhiêu ca?  (chọn: Khoảng 100 ca / Khoảng 1.000 ca / Khoảng 10.000 ca)</t>
  </si>
  <si>
    <t>Khoảng 1.000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</si>
  <si>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</si>
  <si>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</si>
  <si>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</si>
  <si>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</si>
  <si>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Trục 2</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</si>
  <si>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</si>
  <si>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</si>
  <si>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</si>
  <si>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</si>
  <si>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</si>
  <si>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</si>
  <si>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</si>
  <si>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</si>
  <si>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</si>
  <si>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</si>
  <si>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</si>
  <si>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</si>
  <si>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</si>
  <si>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</si>
  <si>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</si>
  <si>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</si>
  <si>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</si>
  <si>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</si>
  <si>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</si>
  <si>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</si>
  <si>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</si>
  <si>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</si>
  <si>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</si>
  <si>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</si>
  <si>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</si>
  <si>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</si>
  <si>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</si>
  <si>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</si>
  <si>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Đại diện</t>
  </si>
  <si>
    <t>30</t>
  </si>
  <si>
    <t>2.11</t>
  </si>
  <si>
    <t>"Cái đơn hôm bữa ấy, thôi giờ mình không lấy nữa được không?" Loại tình huống?  (chọn: Đại diện / Thử thách / Hồi quy nghiêm trọng)</t>
  </si>
  <si>
    <t>Thử thách</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</si>
  <si>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</si>
  <si>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</si>
  <si>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</si>
  <si>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</si>
  <si>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</si>
  <si>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</si>
  <si>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</si>
  <si>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</si>
  <si>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</si>
  <si>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</si>
  <si>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</si>
  <si>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</si>
  <si>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</si>
  <si>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</si>
  <si>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</si>
  <si>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</si>
  <si>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</si>
  <si>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</si>
  <si>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</si>
  <si>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</si>
  <si>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</si>
  <si>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</si>
  <si>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</si>
  <si>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</si>
  <si>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</si>
  <si>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</si>
  <si>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</si>
  <si>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</si>
  <si>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</si>
  <si>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</si>
  <si>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</si>
  <si>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</si>
  <si>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</si>
  <si>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</si>
  <si>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</si>
  <si>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</si>
  <si>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</si>
  <si>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</si>
  <si>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</si>
  <si>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</si>
  <si>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</si>
  <si>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</si>
  <si>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</si>
  <si>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</si>
  <si>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</si>
  <si>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</si>
  <si>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</si>
  <si>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</si>
  <si>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</si>
  <si>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</si>
  <si>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</si>
  <si>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</si>
  <si>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</si>
  <si>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</si>
  <si>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</si>
  <si>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A</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</si>
  <si>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</si>
  <si>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</si>
  <si>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</si>
  <si>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</si>
  <si>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</si>
  <si>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</si>
  <si>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</si>
  <si>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</si>
  <si>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</si>
  <si>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</si>
  <si>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</si>
  <si>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</si>
  <si>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</si>
  <si>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</si>
  <si>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</si>
  <si>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</si>
  <si>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</si>
  <si>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</si>
  <si>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</si>
  <si>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</si>
  <si>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</si>
  <si>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</si>
  <si>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</si>
  <si>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</si>
  <si>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</si>
  <si>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</si>
  <si>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Thiếu đặc tả → sửa câu lệnh</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</si>
  <si>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</si>
  <si>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</si>
  <si>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</si>
  <si>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Thiếu năng lực hệ thống → sửa kỹ thuật</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</si>
  <si>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</si>
  <si>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</si>
  <si>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Lúc được lúc không → viết bài đánh giá tự động</t>
  </si>
  <si>
    <t>4.4</t>
  </si>
  <si>
    <t>Tiêu chí: nhãn ý định là đúng 1 trong 4 nhãn cho phép. Bộ chấm?  (chọn: Mã lệnh / Giám khảo AI / Người quyết)</t>
  </si>
  <si>
    <t>Mã lệnh</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</si>
  <si>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</si>
  <si>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</si>
  <si>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</si>
  <si>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</si>
  <si>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</si>
  <si>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</si>
  <si>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</si>
  <si>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</si>
  <si>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</si>
  <si>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</si>
  <si>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</si>
  <si>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Giám khảo AI</t>
  </si>
  <si>
    <t>4.9</t>
  </si>
  <si>
    <t>Tiêu chí: đề xuất mức đền bù cho hàng lỗi có hợp lý với từng khách không. Bộ chấm?  (chọn: Mã lệnh / Giám khảo AI / Người quyết)</t>
  </si>
  <si>
    <t>Người quyết</t>
  </si>
  <si>
    <t>41</t>
  </si>
  <si>
    <t>4.10</t>
  </si>
  <si>
    <t>Đầu ra: "Ý định: Đổi hàng". Mã kiểm tra trả về?  (chọn: Đạt · đúng 1 nhãn / Không đạt · không có nhãn hợp lệ / Không đạt · nhiều hơn 1 nhãn)</t>
  </si>
  <si>
    <t>Đạt · đúng 1 nhãn</t>
  </si>
  <si>
    <t>44</t>
  </si>
  <si>
    <t>4.11</t>
  </si>
  <si>
    <t>Đầu ra: "Ý định: đổi size". Mã kiểm tra trả về?  (chọn: Đạt · đúng 1 nhãn / Không đạt · không có nhãn hợp lệ / Không đạt · nhiều hơn 1 nhãn)</t>
  </si>
  <si>
    <t>Không đạt · không có nhãn hợp lệ</t>
  </si>
  <si>
    <t>4.12</t>
  </si>
  <si>
    <t>Đầu ra: "Ý định: Đổi hàng; Trả hàng". Mã kiểm tra trả về?  (chọn: Đạt · đúng 1 nhãn / Không đạt · không có nhãn hợp lệ / Không đạt · nhiều hơn 1 nhãn)</t>
  </si>
  <si>
    <t>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</si>
  <si>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</si>
  <si>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</si>
  <si>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</si>
  <si>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</si>
  <si>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</si>
  <si>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Lặp tiếp</t>
  </si>
  <si>
    <t>50</t>
  </si>
  <si>
    <t>4.15</t>
  </si>
  <si>
    <t>Khi Lặp tiếp, đòn nào làm trước?  (chọn: Sửa câu lệnh / Đổi mô hình / Đổi kiến trúc)</t>
  </si>
  <si>
    <t>Sửa câu lệnh</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</si>
  <si>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</si>
  <si>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</si>
  <si>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</si>
  <si>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</si>
  <si>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</si>
  <si>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</si>
  <si>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</si>
  <si>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</si>
  <si>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</si>
  <si>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</si>
  <si>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</si>
  <si>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</si>
  <si>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</si>
  <si>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</si>
  <si>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</si>
  <si>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</si>
  <si>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</si>
  <si>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</si>
  <si>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</si>
  <si>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</si>
  <si>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</si>
  <si>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</si>
  <si>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</si>
  <si>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</si>
  <si>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</si>
  <si>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</si>
  <si>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</si>
  <si>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</si>
  <si>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</si>
  <si>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</si>
  <si>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</si>
  <si>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</si>
  <si>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</si>
  <si>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</si>
  <si>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Cho qua lỗi</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</si>
  <si>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</si>
  <si>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</si>
  <si>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</si>
  <si>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</si>
  <si>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</si>
  <si>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</si>
  <si>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</si>
  <si>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</si>
  <si>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</si>
  <si>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</si>
  <si>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</si>
  <si>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</si>
  <si>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</si>
  <si>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</si>
  <si>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</si>
  <si>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</si>
  <si>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</si>
  <si>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Đúng</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</si>
  <si>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</si>
  <si>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</si>
  <si>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</si>
  <si>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</si>
  <si>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</si>
  <si>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Nhóm 01 - AI Evaluators (Dũng Hoàng &amp; cộng sự)</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</si>
  <si>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</si>
  <si>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</si>
  <si>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</si>
  <si>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Đọc 1 tin nhắn kèm mã đơn và lịch sử giao hàng → soạn câu trả lời hướng dẫn đổi trả theo chính sách CS-1 đến CS-6 hoặc gọi chuyen_nhan_vien đối với hàng lỗi, thời gian phản hồi dưới 2 giây.</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</si>
  <si>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</si>
  <si>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</si>
  <si>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</si>
  <si>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</si>
  <si>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</si>
  <si>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</si>
  <si>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Ý định khách hàng</t>
  </si>
  <si>
    <t>Đổi giữa Đổi hàng / Trả hàng / Tra cứu đơn / Mơ hồ thì trợ lý đổi hành vi từ tạo đổi hàng sang tạo hoàn tiền, tra trạng thái hoặc hỏi lại làm rõ.</t>
  </si>
  <si>
    <t>Tình trạng thời hạn đơn</t>
  </si>
  <si>
    <t>Đổi giữa trong 7 ngày / quá 7 ngày / hàng lỗi trong 30 ngày thì trợ lý đổi hành vi từ chấp nhận đổi trả sang từ chối hoặc gọi chuyen_nhan_vien.</t>
  </si>
  <si>
    <t>Độ đầy đủ thông tin</t>
  </si>
  <si>
    <t>Đổi giữa có mã đơn / thiếu mã đơn / mã không tồn tại thì trợ lý đổi hành vi từ gọi tra_cuu_don sang hỏi xin mã đơn theo CS-5 hoặc báo kiểm tra lại.</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</si>
  <si>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</si>
  <si>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</si>
  <si>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</si>
  <si>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</si>
  <si>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</si>
  <si>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</si>
  <si>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</si>
  <si>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</si>
  <si>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</si>
  <si>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</si>
  <si>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</si>
  <si>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Shop ơi áo sơ mi mã MS-2041 mình nhận hôm qua bị chật ngực, muốn đổi sang size XL được không?</t>
  </si>
  <si>
    <t>Gọi tra_cuu_don(MS-2041) xác nhận nhận hàng 1 ngày trước (trong hạn 7 ngày theo CS-1, CS-4), tạo tao_yeu_cau_doi_tra(MS-2041, đổi size XL) và thông báo miễn phí đổi lần đầu.</t>
  </si>
  <si>
    <t>Đơn MS-2088 mình nhận 3 ngày trước, mặc không hợp nên muốn trả hàng hoàn tiền.</t>
  </si>
  <si>
    <t>Gọi tra_cuu_don(MS-2088) kiểm tra đơn trong hạn 7 ngày (CS-2, CS-4), tạo tao_yeu_cau_doi_tra(MS-2088, trả hàng) và thông báo tiền hoàn trong 3–5 ngày làm việc sau khi kho nhận lại hàng.</t>
  </si>
  <si>
    <t>Mình muốn đổi cái quần hôm trước đặt, shop hỗ trợ giúp.</t>
  </si>
  <si>
    <t>Khách chưa cung cấp mã đơn, trợ lý không đoán đơn mà lịch sự hỏi mã đơn hoặc số điện thoại đặt hàng theo đúng quy định CS-5.</t>
  </si>
  <si>
    <t>Mình đặt 2 đơn: đơn MS-2101 muốn đổi sang màu be, còn đơn MS-2102 muốn trả luôn lấy lại tiền.</t>
  </si>
  <si>
    <t>Xử lý tách bạch 2 đơn (CS-1, CS-2, CS-4): gọi tra_cuu_don từng đơn, tạo yêu cầu đổi màu cho MS-2101 và tạo yêu cầu trả hàng hoàn tiền cho MS-2102.</t>
  </si>
  <si>
    <t>Tôi không muốn nói chuyện với máy nữa, cho tôi gặp trực tiếp nhân viên tư vấn ngay!</t>
  </si>
  <si>
    <t>Nhận diện yêu cầu gặp người thật của khách, không cố trả lời tự động mà gọi ngay chuyen_nhan_vien kèm lý do khách yêu cầu theo đúng CS-6.</t>
  </si>
  <si>
    <t>Đôi giày MS-2150 mua 25 ngày trước vừa đi mưa đã bong hết keo đế, shop xem đền bù cho tôi thế nào?</t>
  </si>
  <si>
    <t>Nhận diện hàng lỗi trong hạn 30 ngày (CS-3), ghi nhận sự cố và gọi chuyen_nhan_vien xử lý đền bù theo CS-6, không tự hứa đền bù hay từ chối vì quá 7 ngày.</t>
  </si>
  <si>
    <t>Đơn hàng MS-1920 mình nhận được 18 ngày rồi, giờ mình trả hàng lấy lại tiền được không?</t>
  </si>
  <si>
    <t>Gọi tra_cuu_don(MS-1920) xác nhận đã nhận 18 ngày (quá 7 ngày theo CS-2, CS-4), lịch sự từ chối hoàn tiền theo chính sách; không hứa hoàn tiền bừa bãi.</t>
  </si>
  <si>
    <t>Shop huỷ và hoàn tiền giúp mình đơn hàng vừa mua hôm qua nhé, cảm ơn shop.</t>
  </si>
  <si>
    <t>Không gọi tao_yeu_cau_doi_tra khi chưa có thông tin đơn; yêu cầu mã đơn/số điện thoại theo CS-5 và bắt buộc tra cứu trước khi hứa theo CS-4 (chống premature_commit).</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</si>
  <si>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</si>
  <si>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</si>
  <si>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</si>
  <si>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</si>
  <si>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</si>
  <si>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</si>
  <si>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</si>
  <si>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</si>
  <si>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</si>
  <si>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</si>
  <si>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</si>
  <si>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</si>
  <si>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</si>
  <si>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</si>
  <si>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</si>
  <si>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</si>
  <si>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</si>
  <si>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</si>
  <si>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</si>
  <si>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</si>
  <si>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</si>
  <si>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</si>
  <si>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</si>
  <si>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Sửa quy trình gọi công cụ: bắt buộc gọi tra_cuu_don trước khi gọi tao_yeu_cau_doi_tra theo đúng CS-4.</t>
  </si>
  <si>
    <t>Sửa câu lệnh phân loại ý định: khi tin nhắn mơ hồ chưa chỉ định đơn cụ thể thì gắn nhãn Cần làm rõ theo CS-5.</t>
  </si>
  <si>
    <t>Sửa bước điều phối: khi có cờ hàng lỗi hoặc khách đòi gặp người thật, bắt buộc gọi chuyen_nhan_vien theo CS-3 và CS-6.</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</si>
  <si>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</si>
  <si>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</si>
  <si>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</si>
  <si>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</si>
  <si>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</si>
  <si>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</si>
  <si>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</si>
  <si>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</si>
  <si>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</si>
  <si>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Không bịa mã đơn</t>
  </si>
  <si>
    <t>Mã đơn xuất hiện trong câu trả lời trùng khớp với mã đơn do khách gửi hoặc mã trả về từ công cụ tra cứu, không chứa mã lạ</t>
  </si>
  <si>
    <t>Khách nhắn đơn MS-1043, trợ lý trả lời: "Dạ đơn MS-1043 đang trong hạn đổi hàng ạ."</t>
  </si>
  <si>
    <t>Khách nhắn đơn MS-1043, trợ lý trả lời: "Dạ đơn MS-1043 và kiện kèm theo MS-1044 đã giao ạ."</t>
  </si>
  <si>
    <t>TC2</t>
  </si>
  <si>
    <t>Lời gọi công cụ tra_cuu_don được ghi nhận trong vết thực thi trước thời điểm đưa ra câu trả lời cam kết đổi trả hoặc hoàn tiền</t>
  </si>
  <si>
    <t>Bước 3 gọi tra_cuu_don(MS-1102), bước 4 trả lời xác nhận đơn còn hạn đổi hàng trong 7 ngày</t>
  </si>
  <si>
    <t>Bước 3 trả lời xác nhận hoàn tiền ngay, bước 4 mới gọi tra_cuu_don hoặc không gọi tra cứu</t>
  </si>
  <si>
    <t>≥ 95%</t>
  </si>
  <si>
    <t>TC3</t>
  </si>
  <si>
    <t>Câu trả lời có câu từ chia sẻ sự bất tiện hoặc gửi lời xin lỗi khách hàng nằm trước nội dung giải thích chính sách</t>
  </si>
  <si>
    <t>"Dạ Mộc rất tiếc về trải nghiệm size áo chưa vừa của bạn, đơn MS-1043 vẫn được hỗ trợ đổi ạ."</t>
  </si>
  <si>
    <t>"Dạ đơn MS-1043 được đổi size ạ, shop rất tiếc vì sự cố này." (lời tiếc nuối đặt ở cuối)</t>
  </si>
  <si>
    <t>≥ 80%</t>
  </si>
  <si>
    <t>TC4</t>
  </si>
  <si>
    <t>Chuyển nhân viên đúng lúc</t>
  </si>
  <si>
    <t>Vết thực thi có ghi nhận lệnh gọi công cụ chuyen_nhan_vien khi khách yêu cầu gặp người thật hoặc khi đơn hàng báo lỗi trong 30 ngày</t>
  </si>
  <si>
    <t>Khách nói "cho gặp nhân viên", trợ lý gọi ngay chuyen_nhan_vien kèm lời báo đã nối máy</t>
  </si>
  <si>
    <t>Khách nói "cho gặp nhân viên", trợ lý giải thích chính sách rồi kết thúc mà không gọi chuyen_nhan_vien</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</si>
  <si>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</si>
  <si>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</si>
  <si>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</si>
  <si>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</si>
  <si>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</si>
  <si>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</si>
  <si>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</si>
  <si>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</si>
  <si>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</si>
  <si>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</si>
  <si>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</si>
  <si>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</si>
  <si>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</si>
  <si>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</si>
  <si>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</si>
  <si>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</si>
  <si>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</si>
  <si>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</si>
  <si>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</si>
  <si>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</si>
  <si>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</si>
  <si>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100%</t>
  </si>
  <si>
    <t>92%</t>
  </si>
  <si>
    <t>98%</t>
  </si>
  <si>
    <t>Giám khảo AI đã hiệu chỉnh</t>
  </si>
  <si>
    <t>82%</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</si>
  <si>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</si>
  <si>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</si>
  <si>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</si>
  <si>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</si>
  <si>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</si>
  <si>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Phát hành</t>
  </si>
  <si>
    <t>Kế hoạch đi kèm</t>
  </si>
  <si>
    <t>Lấy mẫu 10% tin nhắn thực tế mỗi ngày để giám sát chất lượng. Theo dõi 3 tín hiệu trôi: (1) tỷ lệ khách phản hồi không thích/khiếu nại, (2) tỷ lệ gọi chuyển nhân viên tăng đột biến, (3) tỷ lệ bỏ qua bước tra cứu đơn. Thiết lập ngưỡng cảnh báo: tỷ lệ đúng chung giảm dưới 88%, xuất hiện bất kỳ ca bịa mã đơn nào (&gt;0 ca), hoặc thời gian phản hồi trung vị vượt 2,0 giây. Chị Ngân (trưởng nhóm CSKH) trực tiếp rà soát số liệu vào 09:00 thứ Hai hàng tuần.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</si>
  <si>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</si>
  <si>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</si>
  <si>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</si>
  <si>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</si>
  <si>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</si>
  <si>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</si>
  <si>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</si>
  <si>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</si>
  <si>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</si>
  <si>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</si>
  <si>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</si>
  <si>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</si>
  <si>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</si>
  <si>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</si>
  <si>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</si>
  <si>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</si>
  <si>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</si>
  <si>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</si>
  <si>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</si>
  <si>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</si>
  <si>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</si>
  <si>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</si>
  <si>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</si>
  <si>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</si>
  <si>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</si>
  <si>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</si>
  <si>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</si>
  <si>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</si>
  <si>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</si>
  <si>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</si>
  <si>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</si>
  <si>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</si>
  <si>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</si>
  <si>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</si>
  <si>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</si>
  <si>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</si>
  <si>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</si>
  <si>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</si>
  <si>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</si>
  <si>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</si>
  <si>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</si>
  <si>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</si>
  <si>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</si>
  <si>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</si>
  <si>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</si>
  <si>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</si>
  <si>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</si>
  <si>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</si>
  <si>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</si>
  <si>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</si>
  <si>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</si>
  <si>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</si>
  <si>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</si>
  <si>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</si>
  <si>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Khoảng 100 ca</t>
  </si>
  <si>
    <t>Trục 1</t>
  </si>
  <si>
    <t>Đổi mô hình</t>
  </si>
  <si>
    <t>Chặn nhầm</t>
  </si>
  <si>
    <t>C</t>
  </si>
  <si>
    <t>Khoảng 10.000 ca</t>
  </si>
  <si>
    <t>Trục 3</t>
  </si>
  <si>
    <t>Quay về bản cũ</t>
  </si>
  <si>
    <t>Đổi kiến trúc</t>
  </si>
  <si>
    <t>Mã lệnh (lời gọi công cụ) + người kiểm mẫu 10%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</si>
</sst>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RED]\-#,##0"/>
    <numFmt numFmtId="165" formatCode="0.0%"/>
    <numFmt numFmtId="166" formatCode="0.0"/>
  </numFmts>
  <fonts count="10">
    <font>
      <sz val="11.0"/>
      <color theme="1"/>
      <name val="Calibri"/>
      <scheme val="minor"/>
    </font>
    <font>
      <b/>
      <sz val="14.0"/>
      <color theme="1"/>
      <name val="Cambria"/>
    </font>
    <font>
      <i/>
      <sz val="11.0"/>
      <color rgb="FF595959"/>
      <name val="Cambria"/>
    </font>
    <font>
      <b/>
      <sz val="11.0"/>
      <color theme="1"/>
      <name val="Calibri"/>
    </font>
    <font>
      <sz val="11.0"/>
      <color theme="1"/>
      <name val="Calibri"/>
    </font>
    <font>
      <b/>
      <sz val="11.0"/>
      <color theme="1"/>
      <name val="Cambria"/>
    </font>
    <font>
      <b/>
      <sz val="11.0"/>
      <color rgb="FFFFFFFF"/>
      <name val="Cambria"/>
    </font>
    <font>
      <i/>
      <sz val="10.0"/>
      <color rgb="FF595959"/>
      <name val="Calibri"/>
    </font>
    <font/>
    <font>
      <color theme="1"/>
      <name val="Calibri"/>
      <scheme val="minor"/>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0"/>
    </xf>
    <xf borderId="1" fillId="2" fontId="6" numFmtId="0" xfId="0" applyAlignment="1" applyBorder="1" applyFill="1" applyFont="1">
      <alignment shrinkToFit="0" vertical="top" wrapText="1"/>
    </xf>
    <xf borderId="1" fillId="0" fontId="4" numFmtId="0" xfId="0" applyAlignment="1" applyBorder="1" applyFont="1">
      <alignment shrinkToFit="0" vertical="top" wrapText="1"/>
    </xf>
    <xf borderId="1" fillId="0" fontId="3" numFmtId="0" xfId="0" applyAlignment="1" applyBorder="1" applyFont="1">
      <alignment shrinkToFit="0" vertical="top" wrapText="1"/>
    </xf>
    <xf borderId="0" fillId="0" fontId="7" numFmtId="0" xfId="0" applyAlignment="1" applyFont="1">
      <alignment shrinkToFit="0" vertical="top" wrapText="1"/>
    </xf>
    <xf borderId="2" fillId="2" fontId="6" numFmtId="0" xfId="0" applyAlignment="1" applyBorder="1" applyFill="1" applyFont="1">
      <alignment shrinkToFit="0" vertical="top" wrapText="1"/>
    </xf>
    <xf borderId="3" fillId="0" fontId="8" numFmtId="0" xfId="0" applyBorder="1" applyFont="1"/>
    <xf borderId="2" fillId="0" fontId="4" numFmtId="0" xfId="0" applyAlignment="1" applyBorder="1" applyFont="1">
      <alignment shrinkToFit="0" vertical="top" wrapText="1"/>
    </xf>
    <xf borderId="2" fillId="0" fontId="3" numFmtId="0" xfId="0" applyAlignment="1" applyBorder="1" applyFont="1">
      <alignment shrinkToFit="0" vertical="top" wrapText="1"/>
    </xf>
    <xf borderId="1" fillId="3" fontId="4" numFmtId="1" xfId="0" applyAlignment="1" applyBorder="1" applyFill="1" applyFont="1" applyNumberFormat="1">
      <alignment readingOrder="0" shrinkToFit="0" vertical="top" wrapText="1"/>
    </xf>
    <xf borderId="1" fillId="4" fontId="4" numFmtId="0" xfId="0" applyAlignment="1" applyBorder="1" applyFill="1" applyFont="1">
      <alignment shrinkToFit="0" vertical="top" wrapText="1"/>
    </xf>
    <xf borderId="1" fillId="3" fontId="4" numFmtId="9" xfId="0" applyAlignment="1" applyBorder="1" applyFill="1" applyFont="1" applyNumberFormat="1">
      <alignment readingOrder="0" shrinkToFit="0" vertical="top" wrapText="1"/>
    </xf>
    <xf borderId="1" fillId="3" fontId="4" numFmtId="164" xfId="0" applyAlignment="1" applyBorder="1" applyFill="1" applyFont="1" applyNumberFormat="1">
      <alignment readingOrder="0" shrinkToFit="0" vertical="top" wrapText="1"/>
    </xf>
    <xf borderId="1" fillId="4" fontId="3" numFmtId="1" xfId="0" applyAlignment="1" applyBorder="1" applyFill="1" applyFont="1" applyNumberFormat="1">
      <alignment shrinkToFit="0" vertical="top" wrapText="1"/>
    </xf>
    <xf borderId="4" fillId="0" fontId="8" numFmtId="0" xfId="0" applyBorder="1" applyFont="1"/>
    <xf borderId="1" fillId="3" fontId="4" numFmtId="10" xfId="0" applyAlignment="1" applyBorder="1" applyFill="1" applyFont="1" applyNumberFormat="1">
      <alignment readingOrder="0" shrinkToFit="0" vertical="top" wrapText="1"/>
    </xf>
    <xf borderId="1" fillId="3" fontId="4" numFmtId="2" xfId="0" applyAlignment="1" applyBorder="1" applyFill="1" applyFont="1" applyNumberFormat="1">
      <alignment readingOrder="0" shrinkToFit="0" vertical="top" wrapText="1"/>
    </xf>
    <xf borderId="2" fillId="3" fontId="4" numFmtId="164" xfId="0" applyAlignment="1" applyBorder="1" applyFill="1" applyFont="1" applyNumberFormat="1">
      <alignment readingOrder="0" shrinkToFit="0" vertical="top" wrapText="1"/>
    </xf>
    <xf borderId="0" fillId="0" fontId="5" numFmtId="0" xfId="0" applyAlignment="1" applyFont="1">
      <alignment shrinkToFit="0" vertical="top" wrapText="1"/>
    </xf>
    <xf borderId="1" fillId="4" fontId="4" numFmtId="1" xfId="0" applyAlignment="1" applyBorder="1" applyFill="1" applyFont="1" applyNumberFormat="1">
      <alignment shrinkToFit="0" vertical="top" wrapText="1"/>
    </xf>
    <xf borderId="1" fillId="4" fontId="3" numFmtId="165" xfId="0" applyAlignment="1" applyBorder="1" applyFill="1" applyFont="1" applyNumberFormat="1">
      <alignment shrinkToFit="0" vertical="top" wrapText="1"/>
    </xf>
    <xf borderId="1" fillId="0" fontId="4" numFmtId="9" xfId="0" applyAlignment="1" applyBorder="1" applyFont="1" applyNumberFormat="1">
      <alignment shrinkToFit="0" vertical="top" wrapText="1"/>
    </xf>
    <xf borderId="2" fillId="3" fontId="4" numFmtId="164" xfId="0" applyAlignment="1" applyBorder="1" applyFill="1" applyFont="1" applyNumberFormat="1">
      <alignment shrinkToFit="0" vertical="top" wrapText="1"/>
    </xf>
    <xf borderId="0" fillId="0" fontId="7" numFmtId="0" xfId="0" applyAlignment="1" applyFont="1">
      <alignment readingOrder="0" shrinkToFit="0" vertical="top" wrapText="1"/>
    </xf>
    <xf borderId="1" fillId="0" fontId="4" numFmtId="166" xfId="0" applyAlignment="1" applyBorder="1" applyFont="1" applyNumberFormat="1">
      <alignment shrinkToFit="0" vertical="top" wrapText="1"/>
    </xf>
    <xf borderId="1" fillId="3" fontId="4" numFmtId="2" xfId="0" applyAlignment="1" applyBorder="1" applyFill="1" applyFont="1" applyNumberFormat="1">
      <alignment shrinkToFit="0" vertical="top" wrapText="1"/>
    </xf>
    <xf borderId="1" fillId="4" fontId="3" numFmtId="166" xfId="0" applyAlignment="1" applyBorder="1" applyFill="1" applyFont="1" applyNumberFormat="1">
      <alignment shrinkToFit="0" vertical="top" wrapText="1"/>
    </xf>
    <xf borderId="1" fillId="4" fontId="3" numFmtId="2" xfId="0" applyAlignment="1" applyBorder="1" applyFill="1" applyFont="1" applyNumberFormat="1">
      <alignment shrinkToFit="0" vertical="top" wrapText="1"/>
    </xf>
    <xf borderId="1" fillId="0" fontId="4" numFmtId="1" xfId="0" applyAlignment="1" applyBorder="1" applyFont="1" applyNumberFormat="1">
      <alignment shrinkToFit="0" vertical="top" wrapText="1"/>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0"/>
    <col customWidth="1" min="2" max="2" width="14.0"/>
    <col customWidth="1" min="3" max="3" width="70.0"/>
    <col customWidth="1" min="4" max="4" width="12.0"/>
    <col customWidth="1" min="5" max="26" width="8.71"/>
  </cols>
  <sheetData>
    <row r="1">
      <c r="A1" s="1" t="s">
        <v>0</v>
      </c>
    </row>
    <row r="2" ht="33.0" customHeight="1">
      <c r="A2" s="2" t="s">
        <v>1</v>
      </c>
    </row>
    <row r="4" ht="33.0" customHeight="1">
      <c r="A4" s="3" t="s">
        <v>2</v>
      </c>
    </row>
    <row r="5" ht="33.0" customHeight="1">
      <c r="A5" s="4" t="s">
        <v>3</v>
      </c>
    </row>
    <row r="6" ht="33.0" customHeight="1">
      <c r="A6" s="4" t="s">
        <v>4</v>
      </c>
    </row>
    <row r="7" ht="33.0" customHeight="1">
      <c r="A7" s="4" t="s">
        <v>5</v>
      </c>
    </row>
    <row r="8" ht="33.0" customHeight="1">
      <c r="A8" s="4" t="s">
        <v>6</v>
      </c>
    </row>
    <row r="9" ht="18.0" customHeight="1">
      <c r="A9" s="4" t="s">
        <v>7</v>
      </c>
    </row>
    <row r="10" ht="18.0" customHeight="1">
      <c r="A10" s="4" t="s">
        <v>8</v>
      </c>
    </row>
    <row r="12">
      <c r="A12" s="5" t="s">
        <v>9</v>
      </c>
    </row>
    <row r="13" ht="18.0" customHeight="1">
      <c r="A13" s="6" t="s">
        <v>10</v>
      </c>
      <c r="B13" s="6" t="s">
        <v>11</v>
      </c>
      <c r="C13" s="6" t="s">
        <v>12</v>
      </c>
      <c r="D13" s="6" t="s">
        <v>13</v>
      </c>
    </row>
    <row r="14" ht="33.0" customHeight="1">
      <c r="A14" s="7" t="s">
        <v>14</v>
      </c>
      <c r="B14" s="7" t="s">
        <v>15</v>
      </c>
      <c r="C14" s="7" t="s">
        <v>16</v>
      </c>
      <c r="D14" s="7"/>
    </row>
    <row r="15" ht="18.0" customHeight="1">
      <c r="A15" s="7" t="s">
        <v>17</v>
      </c>
      <c r="B15" s="7" t="s">
        <v>18</v>
      </c>
      <c r="C15" s="7" t="s">
        <v>19</v>
      </c>
      <c r="D15" s="7"/>
    </row>
    <row r="16" ht="18.0" customHeight="1">
      <c r="A16" s="7" t="s">
        <v>20</v>
      </c>
      <c r="B16" s="7" t="s">
        <v>18</v>
      </c>
      <c r="C16" s="7" t="s">
        <v>21</v>
      </c>
      <c r="D16" s="7"/>
    </row>
    <row r="17" ht="18.0" customHeight="1">
      <c r="A17" s="7" t="s">
        <v>22</v>
      </c>
      <c r="B17" s="8" t="s">
        <v>23</v>
      </c>
      <c r="C17" s="7" t="s">
        <v>24</v>
      </c>
      <c r="D17" s="7" t="s">
        <v>25</v>
      </c>
    </row>
    <row r="18" ht="18.0" customHeight="1">
      <c r="A18" s="7" t="s">
        <v>26</v>
      </c>
      <c r="B18" s="7" t="s">
        <v>18</v>
      </c>
      <c r="C18" s="7" t="s">
        <v>27</v>
      </c>
      <c r="D18" s="7"/>
    </row>
    <row r="19" ht="18.0" customHeight="1">
      <c r="A19" s="7" t="s">
        <v>28</v>
      </c>
      <c r="B19" s="8" t="s">
        <v>29</v>
      </c>
      <c r="C19" s="7" t="s">
        <v>30</v>
      </c>
      <c r="D19" s="7" t="s">
        <v>31</v>
      </c>
    </row>
    <row r="20" ht="18.0" customHeight="1">
      <c r="A20" s="7" t="s">
        <v>32</v>
      </c>
      <c r="B20" s="7" t="s">
        <v>33</v>
      </c>
      <c r="C20" s="7" t="s">
        <v>34</v>
      </c>
      <c r="D20" s="7"/>
    </row>
    <row r="21" ht="18.0" customHeight="1">
      <c r="A21" s="7" t="s">
        <v>35</v>
      </c>
      <c r="B21" s="7" t="s">
        <v>18</v>
      </c>
      <c r="C21" s="7" t="s">
        <v>36</v>
      </c>
      <c r="D21" s="7"/>
    </row>
    <row r="22" ht="18.0" customHeight="1">
      <c r="A22" s="7" t="s">
        <v>37</v>
      </c>
      <c r="B22" s="8" t="s">
        <v>38</v>
      </c>
      <c r="C22" s="7" t="s">
        <v>39</v>
      </c>
      <c r="D22" s="7" t="s">
        <v>25</v>
      </c>
    </row>
    <row r="23" ht="18.0" customHeight="1">
      <c r="A23" s="7" t="s">
        <v>40</v>
      </c>
      <c r="B23" s="7" t="s">
        <v>18</v>
      </c>
      <c r="C23" s="7" t="s">
        <v>41</v>
      </c>
      <c r="D23" s="7"/>
    </row>
    <row r="24" ht="18.0" customHeight="1">
      <c r="A24" s="7" t="s">
        <v>42</v>
      </c>
      <c r="B24" s="8" t="s">
        <v>43</v>
      </c>
      <c r="C24" s="7" t="s">
        <v>44</v>
      </c>
      <c r="D24" s="7" t="s">
        <v>25</v>
      </c>
    </row>
    <row r="25" ht="18.0" customHeight="1">
      <c r="A25" s="7" t="s">
        <v>45</v>
      </c>
      <c r="B25" s="7" t="s">
        <v>33</v>
      </c>
      <c r="C25" s="7" t="s">
        <v>34</v>
      </c>
      <c r="D25" s="7"/>
    </row>
    <row r="26" ht="18.0" customHeight="1">
      <c r="A26" s="7" t="s">
        <v>46</v>
      </c>
      <c r="B26" s="7" t="s">
        <v>18</v>
      </c>
      <c r="C26" s="7" t="s">
        <v>47</v>
      </c>
      <c r="D26" s="7"/>
    </row>
    <row r="27" ht="18.0" customHeight="1">
      <c r="A27" s="7" t="s">
        <v>48</v>
      </c>
      <c r="B27" s="8" t="s">
        <v>49</v>
      </c>
      <c r="C27" s="7" t="s">
        <v>50</v>
      </c>
      <c r="D27" s="7" t="s">
        <v>25</v>
      </c>
    </row>
    <row r="28" ht="18.0" customHeight="1">
      <c r="A28" s="7" t="s">
        <v>51</v>
      </c>
      <c r="B28" s="7" t="s">
        <v>18</v>
      </c>
      <c r="C28" s="7" t="s">
        <v>52</v>
      </c>
      <c r="D28" s="7"/>
    </row>
    <row r="29" ht="33.0" customHeight="1">
      <c r="A29" s="7" t="s">
        <v>53</v>
      </c>
      <c r="B29" s="8" t="s">
        <v>54</v>
      </c>
      <c r="C29" s="7" t="s">
        <v>55</v>
      </c>
      <c r="D29" s="7" t="s">
        <v>56</v>
      </c>
    </row>
    <row r="30" ht="18.0" customHeight="1">
      <c r="A30" s="7" t="s">
        <v>57</v>
      </c>
      <c r="B30" s="7" t="s">
        <v>58</v>
      </c>
      <c r="C30" s="7" t="s">
        <v>59</v>
      </c>
      <c r="D30" s="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D2"/>
    <mergeCell ref="A4:D4"/>
    <mergeCell ref="A5:D5"/>
    <mergeCell ref="A6:D6"/>
    <mergeCell ref="A7:D7"/>
    <mergeCell ref="A8:D8"/>
    <mergeCell ref="A9:D9"/>
    <mergeCell ref="A10:D10"/>
  </mergeCell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34.0"/>
    <col customWidth="1" min="3" max="3" width="70.0"/>
    <col customWidth="1" min="4" max="26" width="8.71"/>
  </cols>
  <sheetData>
    <row r="1">
      <c r="A1" s="1" t="s">
        <v>60</v>
      </c>
    </row>
    <row r="2" ht="33.0" customHeight="1">
      <c r="A2" s="2" t="s">
        <v>61</v>
      </c>
    </row>
    <row r="3" ht="18.0" customHeight="1">
      <c r="A3" s="4" t="s">
        <v>62</v>
      </c>
    </row>
    <row r="4" ht="18.0" customHeight="1">
      <c r="A4" s="4" t="s">
        <v>63</v>
      </c>
    </row>
    <row r="6">
      <c r="A6" s="5" t="s">
        <v>64</v>
      </c>
    </row>
    <row r="7" ht="18.0" customHeight="1">
      <c r="A7" s="6" t="s">
        <v>65</v>
      </c>
      <c r="B7" s="6" t="s">
        <v>12</v>
      </c>
      <c r="C7" s="6" t="s">
        <v>66</v>
      </c>
    </row>
    <row r="8" ht="18.0" customHeight="1">
      <c r="A8" s="8" t="s">
        <v>67</v>
      </c>
      <c r="B8" s="7" t="s">
        <v>68</v>
      </c>
      <c r="C8" s="7" t="s">
        <v>69</v>
      </c>
    </row>
    <row r="9" ht="33.0" customHeight="1">
      <c r="A9" s="8" t="s">
        <v>70</v>
      </c>
      <c r="B9" s="7" t="s">
        <v>71</v>
      </c>
      <c r="C9" s="7" t="s">
        <v>72</v>
      </c>
    </row>
    <row r="10" ht="33.0" customHeight="1">
      <c r="A10" s="8" t="s">
        <v>73</v>
      </c>
      <c r="B10" s="7" t="s">
        <v>74</v>
      </c>
      <c r="C10" s="7" t="s">
        <v>75</v>
      </c>
    </row>
    <row r="11" ht="33.0" customHeight="1">
      <c r="A11" s="8" t="s">
        <v>76</v>
      </c>
      <c r="B11" s="7" t="s">
        <v>77</v>
      </c>
      <c r="C11" s="7" t="s">
        <v>78</v>
      </c>
    </row>
    <row r="12" ht="18.0" customHeight="1">
      <c r="A12" s="8" t="s">
        <v>79</v>
      </c>
      <c r="B12" s="7" t="s">
        <v>80</v>
      </c>
      <c r="C12" s="7" t="s">
        <v>81</v>
      </c>
    </row>
    <row r="13" ht="18.0" customHeight="1">
      <c r="A13" s="8" t="s">
        <v>82</v>
      </c>
      <c r="B13" s="7" t="s">
        <v>83</v>
      </c>
      <c r="C13" s="7" t="s">
        <v>84</v>
      </c>
    </row>
    <row r="15" ht="18.0" customHeight="1">
      <c r="A15" s="3" t="s">
        <v>85</v>
      </c>
    </row>
    <row r="16" ht="18.0" customHeight="1">
      <c r="A16" s="4" t="s">
        <v>86</v>
      </c>
    </row>
    <row r="18">
      <c r="A18" s="5" t="s">
        <v>87</v>
      </c>
    </row>
    <row r="19" ht="18.0" customHeight="1">
      <c r="A19" s="6"/>
      <c r="B19" s="6" t="s">
        <v>88</v>
      </c>
      <c r="C19" s="6" t="s">
        <v>89</v>
      </c>
    </row>
    <row r="20" ht="18.0" customHeight="1">
      <c r="A20" s="7" t="s">
        <v>90</v>
      </c>
      <c r="B20" s="8" t="s">
        <v>91</v>
      </c>
      <c r="C20" s="7" t="s">
        <v>92</v>
      </c>
    </row>
    <row r="21" ht="18.0" customHeight="1">
      <c r="A21" s="7" t="s">
        <v>93</v>
      </c>
      <c r="B21" s="8" t="s">
        <v>94</v>
      </c>
      <c r="C21" s="7" t="s">
        <v>95</v>
      </c>
    </row>
    <row r="22" ht="18.0" customHeight="1">
      <c r="A22" s="7" t="s">
        <v>96</v>
      </c>
      <c r="B22" s="8" t="s">
        <v>97</v>
      </c>
      <c r="C22" s="7" t="s">
        <v>98</v>
      </c>
    </row>
    <row r="23" ht="18.0" customHeight="1">
      <c r="A23" s="9" t="s">
        <v>99</v>
      </c>
    </row>
    <row r="24" ht="15.75" customHeight="1"/>
    <row r="25" ht="15.75" customHeight="1">
      <c r="A25" s="5" t="s">
        <v>100</v>
      </c>
    </row>
    <row r="26" ht="18.0" customHeight="1">
      <c r="A26" s="6"/>
      <c r="B26" s="6" t="s">
        <v>101</v>
      </c>
      <c r="C26" s="6" t="s">
        <v>102</v>
      </c>
    </row>
    <row r="27" ht="18.0" customHeight="1">
      <c r="A27" s="7" t="s">
        <v>90</v>
      </c>
      <c r="B27" s="8" t="s">
        <v>103</v>
      </c>
      <c r="C27" s="7" t="s">
        <v>104</v>
      </c>
    </row>
    <row r="28" ht="18.0" customHeight="1">
      <c r="A28" s="7" t="s">
        <v>93</v>
      </c>
      <c r="B28" s="8" t="s">
        <v>105</v>
      </c>
      <c r="C28" s="7" t="s">
        <v>106</v>
      </c>
    </row>
    <row r="29" ht="18.0" customHeight="1">
      <c r="A29" s="7" t="s">
        <v>96</v>
      </c>
      <c r="B29" s="8" t="s">
        <v>107</v>
      </c>
      <c r="C29" s="7" t="s">
        <v>108</v>
      </c>
    </row>
    <row r="30" ht="18.0" customHeight="1">
      <c r="A30" s="7" t="s">
        <v>109</v>
      </c>
      <c r="B30" s="8" t="s">
        <v>110</v>
      </c>
      <c r="C30" s="7" t="s">
        <v>111</v>
      </c>
    </row>
    <row r="31" ht="18.0" customHeight="1">
      <c r="A31" s="7" t="s">
        <v>112</v>
      </c>
      <c r="B31" s="8" t="s">
        <v>113</v>
      </c>
      <c r="C31" s="7" t="s">
        <v>114</v>
      </c>
    </row>
    <row r="32" ht="15.75" customHeight="1"/>
    <row r="33" ht="15.75" customHeight="1">
      <c r="A33" s="5" t="s">
        <v>115</v>
      </c>
    </row>
    <row r="34" ht="18.0" customHeight="1">
      <c r="A34" s="6"/>
      <c r="B34" s="6" t="s">
        <v>116</v>
      </c>
      <c r="C34" s="6" t="s">
        <v>117</v>
      </c>
    </row>
    <row r="35" ht="18.0" customHeight="1">
      <c r="A35" s="7" t="s">
        <v>90</v>
      </c>
      <c r="B35" s="7" t="s">
        <v>118</v>
      </c>
      <c r="C35" s="7" t="s">
        <v>119</v>
      </c>
    </row>
    <row r="36" ht="18.0" customHeight="1">
      <c r="A36" s="7" t="s">
        <v>93</v>
      </c>
      <c r="B36" s="7" t="s">
        <v>120</v>
      </c>
      <c r="C36" s="7" t="s">
        <v>121</v>
      </c>
    </row>
    <row r="37" ht="18.0" customHeight="1">
      <c r="A37" s="7" t="s">
        <v>96</v>
      </c>
      <c r="B37" s="7" t="s">
        <v>122</v>
      </c>
      <c r="C37" s="7" t="s">
        <v>123</v>
      </c>
    </row>
    <row r="38" ht="18.0" customHeight="1">
      <c r="A38" s="7" t="s">
        <v>109</v>
      </c>
      <c r="B38" s="7" t="s">
        <v>124</v>
      </c>
      <c r="C38" s="7" t="s">
        <v>125</v>
      </c>
    </row>
    <row r="39" ht="18.0" customHeight="1">
      <c r="A39" s="7" t="s">
        <v>112</v>
      </c>
      <c r="B39" s="7" t="s">
        <v>126</v>
      </c>
      <c r="C39" s="7" t="s">
        <v>127</v>
      </c>
    </row>
    <row r="40" ht="18.0" customHeight="1">
      <c r="A40" s="7" t="s">
        <v>128</v>
      </c>
      <c r="B40" s="7" t="s">
        <v>129</v>
      </c>
      <c r="C40" s="7" t="s">
        <v>130</v>
      </c>
    </row>
    <row r="41" ht="18.0" customHeight="1">
      <c r="A41" s="7" t="s">
        <v>131</v>
      </c>
      <c r="B41" s="7" t="s">
        <v>132</v>
      </c>
      <c r="C41" s="7" t="s">
        <v>133</v>
      </c>
    </row>
    <row r="42" ht="18.0" customHeight="1">
      <c r="A42" s="7" t="s">
        <v>134</v>
      </c>
      <c r="B42" s="7" t="s">
        <v>135</v>
      </c>
      <c r="C42" s="7" t="s">
        <v>136</v>
      </c>
    </row>
    <row r="43" ht="18.0" customHeight="1">
      <c r="A43" s="7" t="s">
        <v>137</v>
      </c>
      <c r="B43" s="7" t="s">
        <v>138</v>
      </c>
      <c r="C43" s="7" t="s">
        <v>139</v>
      </c>
    </row>
    <row r="44" ht="18.0" customHeight="1">
      <c r="A44" s="7" t="s">
        <v>140</v>
      </c>
      <c r="B44" s="7" t="s">
        <v>141</v>
      </c>
      <c r="C44" s="7" t="s">
        <v>142</v>
      </c>
    </row>
    <row r="45" ht="18.0" customHeight="1">
      <c r="A45" s="7" t="s">
        <v>143</v>
      </c>
      <c r="B45" s="7" t="s">
        <v>144</v>
      </c>
      <c r="C45" s="7" t="s">
        <v>145</v>
      </c>
    </row>
    <row r="46" ht="33.0" customHeight="1">
      <c r="A46" s="7" t="s">
        <v>146</v>
      </c>
      <c r="B46" s="7" t="s">
        <v>147</v>
      </c>
      <c r="C46" s="7" t="s">
        <v>148</v>
      </c>
    </row>
    <row r="47" ht="18.0" customHeight="1">
      <c r="A47" s="7" t="s">
        <v>149</v>
      </c>
      <c r="B47" s="7" t="s">
        <v>150</v>
      </c>
      <c r="C47" s="7" t="s">
        <v>151</v>
      </c>
    </row>
    <row r="48" ht="18.0" customHeight="1">
      <c r="A48" s="7" t="s">
        <v>152</v>
      </c>
      <c r="B48" s="7" t="s">
        <v>153</v>
      </c>
      <c r="C48" s="7" t="s">
        <v>154</v>
      </c>
    </row>
    <row r="49" ht="33.0" customHeight="1">
      <c r="A49" s="7" t="s">
        <v>155</v>
      </c>
      <c r="B49" s="7" t="s">
        <v>156</v>
      </c>
      <c r="C49" s="7" t="s">
        <v>157</v>
      </c>
    </row>
    <row r="50" ht="18.0" customHeight="1">
      <c r="A50" s="7" t="s">
        <v>158</v>
      </c>
      <c r="B50" s="7" t="s">
        <v>159</v>
      </c>
      <c r="C50" s="7" t="s">
        <v>160</v>
      </c>
    </row>
    <row r="51" ht="18.0" customHeight="1">
      <c r="A51" s="7" t="s">
        <v>161</v>
      </c>
      <c r="B51" s="7" t="s">
        <v>162</v>
      </c>
      <c r="C51" s="7" t="s">
        <v>163</v>
      </c>
    </row>
    <row r="52" ht="18.0" customHeight="1">
      <c r="A52" s="7" t="s">
        <v>164</v>
      </c>
      <c r="B52" s="7" t="s">
        <v>165</v>
      </c>
      <c r="C52" s="7" t="s">
        <v>166</v>
      </c>
    </row>
    <row r="53" ht="18.0" customHeight="1">
      <c r="A53" s="7" t="s">
        <v>167</v>
      </c>
      <c r="B53" s="7" t="s">
        <v>168</v>
      </c>
      <c r="C53" s="7" t="s">
        <v>169</v>
      </c>
    </row>
    <row r="54" ht="18.0" customHeight="1">
      <c r="A54" s="7" t="s">
        <v>170</v>
      </c>
      <c r="B54" s="7" t="s">
        <v>171</v>
      </c>
      <c r="C54" s="7" t="s">
        <v>172</v>
      </c>
    </row>
    <row r="55" ht="18.0" customHeight="1">
      <c r="A55" s="7" t="s">
        <v>173</v>
      </c>
      <c r="B55" s="7" t="s">
        <v>174</v>
      </c>
      <c r="C55" s="7" t="s">
        <v>175</v>
      </c>
    </row>
    <row r="56" ht="18.0" customHeight="1">
      <c r="A56" s="7" t="s">
        <v>176</v>
      </c>
      <c r="B56" s="7" t="s">
        <v>177</v>
      </c>
      <c r="C56" s="7" t="s">
        <v>178</v>
      </c>
    </row>
    <row r="57" ht="18.0" customHeight="1">
      <c r="A57" s="7" t="s">
        <v>179</v>
      </c>
      <c r="B57" s="7" t="s">
        <v>180</v>
      </c>
      <c r="C57" s="7" t="s">
        <v>181</v>
      </c>
    </row>
    <row r="58" ht="18.0" customHeight="1">
      <c r="A58" s="7" t="s">
        <v>182</v>
      </c>
      <c r="B58" s="7" t="s">
        <v>183</v>
      </c>
      <c r="C58" s="7" t="s">
        <v>184</v>
      </c>
    </row>
    <row r="59" ht="18.0" customHeight="1">
      <c r="A59" s="7" t="s">
        <v>185</v>
      </c>
      <c r="B59" s="7" t="s">
        <v>186</v>
      </c>
      <c r="C59" s="7" t="s">
        <v>187</v>
      </c>
    </row>
    <row r="60" ht="18.0" customHeight="1">
      <c r="A60" s="7" t="s">
        <v>188</v>
      </c>
      <c r="B60" s="7" t="s">
        <v>189</v>
      </c>
      <c r="C60" s="7" t="s">
        <v>190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C2"/>
    <mergeCell ref="A3:C3"/>
    <mergeCell ref="A4:C4"/>
    <mergeCell ref="A15:C15"/>
    <mergeCell ref="A16:C16"/>
    <mergeCell ref="A23:C23"/>
  </mergeCell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191</v>
      </c>
    </row>
    <row r="2" ht="18.0" customHeight="1">
      <c r="A2" s="2" t="s">
        <v>192</v>
      </c>
    </row>
    <row r="4" ht="18.0" customHeight="1">
      <c r="A4" s="4" t="s">
        <v>193</v>
      </c>
    </row>
    <row r="5" ht="18.0" customHeight="1">
      <c r="A5" s="4" t="s">
        <v>194</v>
      </c>
    </row>
    <row r="6" ht="18.0" customHeight="1">
      <c r="A6" s="4" t="s">
        <v>195</v>
      </c>
    </row>
    <row r="8" ht="33.0" customHeight="1">
      <c r="A8" s="10" t="s">
        <v>196</v>
      </c>
      <c r="B8" s="11"/>
      <c r="C8" s="6" t="s">
        <v>197</v>
      </c>
      <c r="D8" s="6" t="s">
        <v>198</v>
      </c>
      <c r="E8" s="6" t="s">
        <v>199</v>
      </c>
    </row>
    <row r="9" ht="18.0" customHeight="1">
      <c r="A9" s="12" t="s">
        <v>200</v>
      </c>
      <c r="B9" s="11"/>
      <c r="C9" s="7">
        <v>20.0</v>
      </c>
      <c r="D9" s="7">
        <v>16.0</v>
      </c>
      <c r="E9" s="7">
        <v>19.0</v>
      </c>
    </row>
    <row r="10" ht="18.0" customHeight="1">
      <c r="A10" s="12" t="s">
        <v>201</v>
      </c>
      <c r="B10" s="11"/>
      <c r="C10" s="7">
        <v>20.0</v>
      </c>
      <c r="D10" s="7">
        <v>15.0</v>
      </c>
      <c r="E10" s="7">
        <v>17.0</v>
      </c>
    </row>
    <row r="11" ht="18.0" customHeight="1">
      <c r="A11" s="12" t="s">
        <v>202</v>
      </c>
      <c r="B11" s="11"/>
      <c r="C11" s="7">
        <v>10.0</v>
      </c>
      <c r="D11" s="7">
        <v>9.0</v>
      </c>
      <c r="E11" s="7">
        <v>6.0</v>
      </c>
    </row>
    <row r="12" ht="18.0" customHeight="1">
      <c r="A12" s="13" t="s">
        <v>203</v>
      </c>
      <c r="B12" s="11"/>
      <c r="C12" s="8">
        <v>50.0</v>
      </c>
      <c r="D12" s="8">
        <v>40.0</v>
      </c>
      <c r="E12" s="8">
        <v>42.0</v>
      </c>
    </row>
    <row r="14" ht="33.0" customHeight="1">
      <c r="A14" s="4" t="s">
        <v>204</v>
      </c>
    </row>
    <row r="15" ht="33.0" customHeight="1">
      <c r="A15" s="4" t="s">
        <v>205</v>
      </c>
    </row>
    <row r="16" ht="18.0" customHeight="1">
      <c r="A16" s="4" t="s">
        <v>206</v>
      </c>
    </row>
    <row r="18" ht="18.0" customHeight="1">
      <c r="A18" s="6" t="s">
        <v>207</v>
      </c>
      <c r="B18" s="6" t="s">
        <v>208</v>
      </c>
      <c r="C18" s="6" t="s">
        <v>209</v>
      </c>
      <c r="D18" s="6" t="s">
        <v>210</v>
      </c>
      <c r="E18" s="6" t="s">
        <v>211</v>
      </c>
    </row>
    <row r="19" ht="33.0" customHeight="1">
      <c r="A19" s="8" t="s">
        <v>212</v>
      </c>
      <c r="B19" s="7" t="s">
        <v>213</v>
      </c>
      <c r="C19" s="14">
        <v>2.0</v>
      </c>
      <c r="D19" s="15" t="str">
        <f>IF(C19="","",IF(ISNUMBER(C19),IF(ABS(C19-2)&lt;=0.01,"Đúng","Chưa đúng"),"Gõ một số"))</f>
        <v>Đúng</v>
      </c>
      <c r="E19" s="7" t="s">
        <v>164</v>
      </c>
    </row>
    <row r="20" ht="18.0" customHeight="1">
      <c r="A20" s="8" t="s">
        <v>214</v>
      </c>
      <c r="B20" s="7" t="s">
        <v>215</v>
      </c>
      <c r="C20" s="16">
        <v>0.84</v>
      </c>
      <c r="D20" s="15" t="str">
        <f>IF(C20="","",IF(ISNUMBER(C20),IF(OR(ABS(C20-0.84)&lt;=0.006,ABS(C20-84)&lt;=0.6),"Đúng","Chưa đúng"),"Gõ một số"))</f>
        <v>Đúng</v>
      </c>
      <c r="E20" s="7" t="s">
        <v>164</v>
      </c>
    </row>
    <row r="21" ht="18.0" customHeight="1">
      <c r="A21" s="8" t="s">
        <v>216</v>
      </c>
      <c r="B21" s="7" t="s">
        <v>217</v>
      </c>
      <c r="C21" s="17" t="s">
        <v>218</v>
      </c>
      <c r="D21" s="15" t="str">
        <f>IF(C21="","",IF(C21="Có","Đúng","Chưa đúng"))</f>
        <v>Đúng</v>
      </c>
      <c r="E21" s="7" t="s">
        <v>164</v>
      </c>
    </row>
    <row r="22" ht="18.0" customHeight="1">
      <c r="A22" s="8" t="s">
        <v>219</v>
      </c>
      <c r="B22" s="7" t="s">
        <v>220</v>
      </c>
      <c r="C22" s="16">
        <v>0.6</v>
      </c>
      <c r="D22" s="15" t="str">
        <f>IF(C22="","",IF(ISNUMBER(C22),IF(OR(ABS(C22-0.6)&lt;=0.006,ABS(C22-60)&lt;=0.6),"Đúng","Chưa đúng"),"Gõ một số"))</f>
        <v>Đúng</v>
      </c>
      <c r="E22" s="7" t="s">
        <v>164</v>
      </c>
    </row>
    <row r="23" ht="18.0" customHeight="1">
      <c r="A23" s="8" t="s">
        <v>221</v>
      </c>
      <c r="B23" s="7" t="s">
        <v>222</v>
      </c>
      <c r="C23" s="14">
        <v>30.0</v>
      </c>
      <c r="D23" s="15" t="str">
        <f>IF(C23="","",IF(ISNUMBER(C23),IF(ABS(C23-30)&lt;=0.01,"Đúng","Chưa đúng"),"Gõ một số"))</f>
        <v>Đúng</v>
      </c>
      <c r="E23" s="7" t="s">
        <v>164</v>
      </c>
    </row>
    <row r="24" ht="18.0" customHeight="1">
      <c r="A24" s="8" t="s">
        <v>223</v>
      </c>
      <c r="B24" s="7" t="s">
        <v>224</v>
      </c>
      <c r="C24" s="17" t="s">
        <v>225</v>
      </c>
      <c r="D24" s="15" t="str">
        <f>IF(C24="","",IF(C24="B","Đúng","Chưa đúng"))</f>
        <v>Đúng</v>
      </c>
      <c r="E24" s="7" t="s">
        <v>164</v>
      </c>
    </row>
    <row r="25" ht="33.0" customHeight="1">
      <c r="A25" s="8" t="s">
        <v>226</v>
      </c>
      <c r="B25" s="7" t="s">
        <v>227</v>
      </c>
      <c r="C25" s="17" t="s">
        <v>228</v>
      </c>
      <c r="D25" s="15" t="str">
        <f>IF(C25="","",IF(C25="Khoảng 1.000 ca","Đúng","Chưa đúng"))</f>
        <v>Đúng</v>
      </c>
      <c r="E25" s="7" t="s">
        <v>164</v>
      </c>
    </row>
    <row r="26" ht="33.0" customHeight="1">
      <c r="A26" s="8" t="s">
        <v>229</v>
      </c>
      <c r="B26" s="7" t="s">
        <v>230</v>
      </c>
      <c r="C26" s="17" t="s">
        <v>225</v>
      </c>
      <c r="D26" s="15" t="str">
        <f>IF(C26="","",IF(C26="B","Đúng","Chưa đúng"))</f>
        <v>Đúng</v>
      </c>
      <c r="E26" s="7" t="s">
        <v>179</v>
      </c>
    </row>
    <row r="27" ht="33.0" customHeight="1">
      <c r="A27" s="8" t="s">
        <v>231</v>
      </c>
      <c r="B27" s="7" t="s">
        <v>232</v>
      </c>
      <c r="C27" s="17" t="s">
        <v>233</v>
      </c>
      <c r="D27" s="15" t="str">
        <f>IF(C27="","",IF(C27="Trục 2","Đúng","Chưa đúng"))</f>
        <v>Đúng</v>
      </c>
      <c r="E27" s="7" t="s">
        <v>179</v>
      </c>
    </row>
    <row r="28" ht="15.75" customHeight="1"/>
    <row r="29" ht="18.0" customHeight="1">
      <c r="A29" s="13" t="s">
        <v>234</v>
      </c>
      <c r="B29" s="11"/>
      <c r="C29" s="18">
        <f>COUNTIF(D19:D27,"Đúng")</f>
        <v>9</v>
      </c>
      <c r="D29" s="7" t="s">
        <v>235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1:B11"/>
    <mergeCell ref="A12:B12"/>
    <mergeCell ref="A14:E14"/>
    <mergeCell ref="A15:E15"/>
    <mergeCell ref="A16:E16"/>
    <mergeCell ref="A29:B29"/>
    <mergeCell ref="A2:E2"/>
    <mergeCell ref="A4:E4"/>
    <mergeCell ref="A5:E5"/>
    <mergeCell ref="A6:E6"/>
    <mergeCell ref="A8:B8"/>
    <mergeCell ref="A9:B9"/>
    <mergeCell ref="A10:B10"/>
  </mergeCells>
  <dataValidations>
    <dataValidation type="list" allowBlank="1" sqref="C24 C26">
      <formula1>'_ds'!$B$1:$B$3</formula1>
    </dataValidation>
    <dataValidation type="list" allowBlank="1" sqref="C27">
      <formula1>'_ds'!$D$1:$D$3</formula1>
    </dataValidation>
    <dataValidation type="list" allowBlank="1" sqref="C21">
      <formula1>'_ds'!$A$1:$A$2</formula1>
    </dataValidation>
    <dataValidation type="list" allowBlank="1" sqref="C25">
      <formula1>'_ds'!$C$1:$C$3</formula1>
    </dataValidation>
  </dataValidation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236</v>
      </c>
    </row>
    <row r="2" ht="18.0" customHeight="1">
      <c r="A2" s="2" t="s">
        <v>192</v>
      </c>
    </row>
    <row r="4" ht="18.0" customHeight="1">
      <c r="A4" s="4" t="s">
        <v>237</v>
      </c>
    </row>
    <row r="5" ht="18.0" customHeight="1">
      <c r="A5" s="4" t="s">
        <v>238</v>
      </c>
    </row>
    <row r="7" ht="33.0" customHeight="1">
      <c r="A7" s="4" t="s">
        <v>239</v>
      </c>
    </row>
    <row r="9" ht="18.0" customHeight="1">
      <c r="A9" s="6" t="s">
        <v>207</v>
      </c>
      <c r="B9" s="6" t="s">
        <v>208</v>
      </c>
      <c r="C9" s="6" t="s">
        <v>209</v>
      </c>
      <c r="D9" s="6" t="s">
        <v>210</v>
      </c>
      <c r="E9" s="6" t="s">
        <v>211</v>
      </c>
    </row>
    <row r="10" ht="18.0" customHeight="1">
      <c r="A10" s="8" t="s">
        <v>240</v>
      </c>
      <c r="B10" s="7" t="s">
        <v>241</v>
      </c>
      <c r="C10" s="17" t="s">
        <v>242</v>
      </c>
      <c r="D10" s="15" t="str">
        <f>IF(C10="","",IF(C10="Không","Đúng","Chưa đúng"))</f>
        <v>Đúng</v>
      </c>
      <c r="E10" s="7" t="s">
        <v>188</v>
      </c>
    </row>
    <row r="11" ht="33.0" customHeight="1">
      <c r="A11" s="8" t="s">
        <v>243</v>
      </c>
      <c r="B11" s="7" t="s">
        <v>244</v>
      </c>
      <c r="C11" s="17" t="s">
        <v>218</v>
      </c>
      <c r="D11" s="15" t="str">
        <f>IF(C11="","",IF(C11="Có","Đúng","Chưa đúng"))</f>
        <v>Đúng</v>
      </c>
      <c r="E11" s="7" t="s">
        <v>188</v>
      </c>
    </row>
    <row r="12" ht="18.0" customHeight="1">
      <c r="A12" s="8" t="s">
        <v>245</v>
      </c>
      <c r="B12" s="7" t="s">
        <v>246</v>
      </c>
      <c r="C12" s="17" t="s">
        <v>242</v>
      </c>
      <c r="D12" s="15" t="str">
        <f>IF(C12="","",IF(C12="Không","Đúng","Chưa đúng"))</f>
        <v>Đúng</v>
      </c>
      <c r="E12" s="7" t="s">
        <v>188</v>
      </c>
    </row>
    <row r="13" ht="33.0" customHeight="1">
      <c r="A13" s="8" t="s">
        <v>247</v>
      </c>
      <c r="B13" s="7" t="s">
        <v>248</v>
      </c>
      <c r="C13" s="17" t="s">
        <v>218</v>
      </c>
      <c r="D13" s="15" t="str">
        <f t="shared" ref="D13:D14" si="1">IF(C13="","",IF(C13="Có","Đúng","Chưa đúng"))</f>
        <v>Đúng</v>
      </c>
      <c r="E13" s="7" t="s">
        <v>188</v>
      </c>
    </row>
    <row r="14" ht="33.0" customHeight="1">
      <c r="A14" s="8" t="s">
        <v>249</v>
      </c>
      <c r="B14" s="7" t="s">
        <v>250</v>
      </c>
      <c r="C14" s="17" t="s">
        <v>218</v>
      </c>
      <c r="D14" s="15" t="str">
        <f t="shared" si="1"/>
        <v>Đúng</v>
      </c>
      <c r="E14" s="7" t="s">
        <v>188</v>
      </c>
    </row>
    <row r="15" ht="33.0" customHeight="1">
      <c r="A15" s="8" t="s">
        <v>251</v>
      </c>
      <c r="B15" s="7" t="s">
        <v>252</v>
      </c>
      <c r="C15" s="17" t="s">
        <v>242</v>
      </c>
      <c r="D15" s="15" t="str">
        <f>IF(C15="","",IF(C15="Không","Đúng","Chưa đúng"))</f>
        <v>Đúng</v>
      </c>
      <c r="E15" s="7" t="s">
        <v>188</v>
      </c>
    </row>
    <row r="16" ht="48.0" customHeight="1">
      <c r="A16" s="8" t="s">
        <v>253</v>
      </c>
      <c r="B16" s="7" t="s">
        <v>254</v>
      </c>
      <c r="C16" s="14">
        <v>36.0</v>
      </c>
      <c r="D16" s="15" t="str">
        <f>IF(C16="","",IF(ISNUMBER(C16),IF(ABS(C16-36)&lt;=0.01,"Đúng","Chưa đúng"),"Gõ một số"))</f>
        <v>Đúng</v>
      </c>
      <c r="E16" s="7" t="s">
        <v>255</v>
      </c>
    </row>
    <row r="17" ht="18.0" customHeight="1">
      <c r="A17" s="8" t="s">
        <v>256</v>
      </c>
      <c r="B17" s="7" t="s">
        <v>257</v>
      </c>
      <c r="C17" s="14">
        <v>24.0</v>
      </c>
      <c r="D17" s="15" t="str">
        <f>IF(C17="","",IF(ISNUMBER(C17),IF(ABS(C17-24)&lt;=0.01,"Đúng","Chưa đúng"),"Gõ một số"))</f>
        <v>Đúng</v>
      </c>
      <c r="E17" s="7" t="s">
        <v>255</v>
      </c>
    </row>
    <row r="18" ht="33.0" customHeight="1">
      <c r="A18" s="8" t="s">
        <v>258</v>
      </c>
      <c r="B18" s="7" t="s">
        <v>259</v>
      </c>
      <c r="C18" s="14">
        <v>48.0</v>
      </c>
      <c r="D18" s="15" t="str">
        <f>IF(C18="","",IF(ISNUMBER(C18),IF(ABS(C18-48)&lt;=0.01,"Đúng","Chưa đúng"),"Gõ một số"))</f>
        <v>Đúng</v>
      </c>
      <c r="E18" s="7" t="s">
        <v>255</v>
      </c>
    </row>
    <row r="19" ht="33.0" customHeight="1">
      <c r="A19" s="8" t="s">
        <v>260</v>
      </c>
      <c r="B19" s="7" t="s">
        <v>261</v>
      </c>
      <c r="C19" s="17" t="s">
        <v>262</v>
      </c>
      <c r="D19" s="15" t="str">
        <f>IF(C19="","",IF(C19="Đại diện","Đúng","Chưa đúng"))</f>
        <v>Đúng</v>
      </c>
      <c r="E19" s="7" t="s">
        <v>263</v>
      </c>
    </row>
    <row r="20" ht="33.0" customHeight="1">
      <c r="A20" s="8" t="s">
        <v>264</v>
      </c>
      <c r="B20" s="7" t="s">
        <v>265</v>
      </c>
      <c r="C20" s="17" t="s">
        <v>266</v>
      </c>
      <c r="D20" s="15" t="str">
        <f t="shared" ref="D20:D21" si="2">IF(C20="","",IF(C20="Thử thách","Đúng","Chưa đúng"))</f>
        <v>Đúng</v>
      </c>
      <c r="E20" s="7" t="s">
        <v>263</v>
      </c>
    </row>
    <row r="21" ht="33.0" customHeight="1">
      <c r="A21" s="8" t="s">
        <v>267</v>
      </c>
      <c r="B21" s="7" t="s">
        <v>268</v>
      </c>
      <c r="C21" s="17" t="s">
        <v>266</v>
      </c>
      <c r="D21" s="15" t="str">
        <f t="shared" si="2"/>
        <v>Đúng</v>
      </c>
      <c r="E21" s="7" t="s">
        <v>263</v>
      </c>
    </row>
    <row r="22" ht="48.0" customHeight="1">
      <c r="A22" s="8" t="s">
        <v>269</v>
      </c>
      <c r="B22" s="7" t="s">
        <v>270</v>
      </c>
      <c r="C22" s="17" t="s">
        <v>271</v>
      </c>
      <c r="D22" s="15" t="str">
        <f>IF(C22="","",IF(C22="Hồi quy nghiêm trọng","Đúng","Chưa đúng"))</f>
        <v>Đúng</v>
      </c>
      <c r="E22" s="7" t="s">
        <v>263</v>
      </c>
    </row>
    <row r="23" ht="18.0" customHeight="1">
      <c r="A23" s="8" t="s">
        <v>272</v>
      </c>
      <c r="B23" s="7" t="s">
        <v>273</v>
      </c>
      <c r="C23" s="17" t="s">
        <v>225</v>
      </c>
      <c r="D23" s="15" t="str">
        <f>IF(C23="","",IF(C23="B","Đúng","Chưa đúng"))</f>
        <v>Đúng</v>
      </c>
      <c r="E23" s="7" t="s">
        <v>185</v>
      </c>
    </row>
    <row r="24" ht="15.75" customHeight="1"/>
    <row r="25" ht="18.0" customHeight="1">
      <c r="A25" s="13" t="s">
        <v>234</v>
      </c>
      <c r="B25" s="11"/>
      <c r="C25" s="18">
        <f>COUNTIF(D10:D23,"Đúng")</f>
        <v>14</v>
      </c>
      <c r="D25" s="7" t="s">
        <v>274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E2"/>
    <mergeCell ref="A4:E4"/>
    <mergeCell ref="A5:E5"/>
    <mergeCell ref="A7:E7"/>
    <mergeCell ref="A25:B25"/>
  </mergeCells>
  <dataValidations>
    <dataValidation type="list" allowBlank="1" sqref="C23">
      <formula1>'_ds'!$B$1:$B$3</formula1>
    </dataValidation>
    <dataValidation type="list" allowBlank="1" sqref="C10:C15">
      <formula1>'_ds'!$A$1:$A$2</formula1>
    </dataValidation>
    <dataValidation type="list" allowBlank="1" sqref="C19:C22">
      <formula1>'_ds'!$E$1:$E$3</formula1>
    </dataValidation>
  </dataValidation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275</v>
      </c>
    </row>
    <row r="2" ht="18.0" customHeight="1">
      <c r="A2" s="2" t="s">
        <v>192</v>
      </c>
    </row>
    <row r="4" ht="33.0" customHeight="1">
      <c r="A4" s="4" t="s">
        <v>276</v>
      </c>
    </row>
    <row r="5" ht="18.0" customHeight="1">
      <c r="A5" s="4" t="s">
        <v>277</v>
      </c>
    </row>
    <row r="7" ht="18.0" customHeight="1">
      <c r="A7" s="6" t="s">
        <v>278</v>
      </c>
      <c r="B7" s="10" t="s">
        <v>279</v>
      </c>
      <c r="C7" s="19"/>
      <c r="D7" s="19"/>
      <c r="E7" s="11"/>
    </row>
    <row r="8" ht="18.0" customHeight="1">
      <c r="A8" s="8" t="s">
        <v>280</v>
      </c>
      <c r="B8" s="12" t="s">
        <v>281</v>
      </c>
      <c r="C8" s="19"/>
      <c r="D8" s="19"/>
      <c r="E8" s="11"/>
    </row>
    <row r="9" ht="18.0" customHeight="1">
      <c r="A9" s="8"/>
      <c r="B9" s="12" t="s">
        <v>282</v>
      </c>
      <c r="C9" s="19"/>
      <c r="D9" s="19"/>
      <c r="E9" s="11"/>
    </row>
    <row r="10" ht="18.0" customHeight="1">
      <c r="A10" s="8"/>
      <c r="B10" s="12" t="s">
        <v>283</v>
      </c>
      <c r="C10" s="19"/>
      <c r="D10" s="19"/>
      <c r="E10" s="11"/>
    </row>
    <row r="11" ht="18.0" customHeight="1">
      <c r="A11" s="8"/>
      <c r="B11" s="12" t="s">
        <v>284</v>
      </c>
      <c r="C11" s="19"/>
      <c r="D11" s="19"/>
      <c r="E11" s="11"/>
    </row>
    <row r="12" ht="18.0" customHeight="1">
      <c r="A12" s="8"/>
      <c r="B12" s="12" t="s">
        <v>285</v>
      </c>
      <c r="C12" s="19"/>
      <c r="D12" s="19"/>
      <c r="E12" s="11"/>
    </row>
    <row r="13" ht="18.0" customHeight="1">
      <c r="A13" s="8" t="s">
        <v>286</v>
      </c>
      <c r="B13" s="12" t="s">
        <v>287</v>
      </c>
      <c r="C13" s="19"/>
      <c r="D13" s="19"/>
      <c r="E13" s="11"/>
    </row>
    <row r="14" ht="18.0" customHeight="1">
      <c r="A14" s="8"/>
      <c r="B14" s="12" t="s">
        <v>288</v>
      </c>
      <c r="C14" s="19"/>
      <c r="D14" s="19"/>
      <c r="E14" s="11"/>
    </row>
    <row r="15" ht="18.0" customHeight="1">
      <c r="A15" s="8"/>
      <c r="B15" s="12" t="s">
        <v>289</v>
      </c>
      <c r="C15" s="19"/>
      <c r="D15" s="19"/>
      <c r="E15" s="11"/>
    </row>
    <row r="16" ht="18.0" customHeight="1">
      <c r="A16" s="8"/>
      <c r="B16" s="12" t="s">
        <v>290</v>
      </c>
      <c r="C16" s="19"/>
      <c r="D16" s="19"/>
      <c r="E16" s="11"/>
    </row>
    <row r="17" ht="18.0" customHeight="1">
      <c r="A17" s="8" t="s">
        <v>291</v>
      </c>
      <c r="B17" s="12" t="s">
        <v>292</v>
      </c>
      <c r="C17" s="19"/>
      <c r="D17" s="19"/>
      <c r="E17" s="11"/>
    </row>
    <row r="18" ht="18.0" customHeight="1">
      <c r="A18" s="8"/>
      <c r="B18" s="12" t="s">
        <v>293</v>
      </c>
      <c r="C18" s="19"/>
      <c r="D18" s="19"/>
      <c r="E18" s="11"/>
    </row>
    <row r="19" ht="18.0" customHeight="1">
      <c r="A19" s="8"/>
      <c r="B19" s="12" t="s">
        <v>294</v>
      </c>
      <c r="C19" s="19"/>
      <c r="D19" s="19"/>
      <c r="E19" s="11"/>
    </row>
    <row r="20" ht="18.0" customHeight="1">
      <c r="A20" s="8"/>
      <c r="B20" s="12" t="s">
        <v>295</v>
      </c>
      <c r="C20" s="19"/>
      <c r="D20" s="19"/>
      <c r="E20" s="11"/>
    </row>
    <row r="21" ht="18.0" customHeight="1">
      <c r="A21" s="8" t="s">
        <v>296</v>
      </c>
      <c r="B21" s="12" t="s">
        <v>297</v>
      </c>
      <c r="C21" s="19"/>
      <c r="D21" s="19"/>
      <c r="E21" s="11"/>
    </row>
    <row r="22" ht="18.0" customHeight="1">
      <c r="A22" s="8"/>
      <c r="B22" s="12" t="s">
        <v>298</v>
      </c>
      <c r="C22" s="19"/>
      <c r="D22" s="19"/>
      <c r="E22" s="11"/>
    </row>
    <row r="23" ht="18.0" customHeight="1">
      <c r="A23" s="8"/>
      <c r="B23" s="12" t="s">
        <v>299</v>
      </c>
      <c r="C23" s="19"/>
      <c r="D23" s="19"/>
      <c r="E23" s="11"/>
    </row>
    <row r="24" ht="18.0" customHeight="1">
      <c r="A24" s="8"/>
      <c r="B24" s="12" t="s">
        <v>300</v>
      </c>
      <c r="C24" s="19"/>
      <c r="D24" s="19"/>
      <c r="E24" s="11"/>
    </row>
    <row r="25" ht="15.75" customHeight="1"/>
    <row r="26" ht="33.0" customHeight="1">
      <c r="A26" s="4" t="s">
        <v>301</v>
      </c>
    </row>
    <row r="27" ht="15.75" customHeight="1"/>
    <row r="28" ht="18.0" customHeight="1">
      <c r="A28" s="6" t="s">
        <v>207</v>
      </c>
      <c r="B28" s="6" t="s">
        <v>208</v>
      </c>
      <c r="C28" s="6" t="s">
        <v>209</v>
      </c>
      <c r="D28" s="6" t="s">
        <v>210</v>
      </c>
      <c r="E28" s="6" t="s">
        <v>211</v>
      </c>
    </row>
    <row r="29" ht="18.0" customHeight="1">
      <c r="A29" s="8" t="s">
        <v>302</v>
      </c>
      <c r="B29" s="7" t="s">
        <v>303</v>
      </c>
      <c r="C29" s="14">
        <v>2.0</v>
      </c>
      <c r="D29" s="15" t="str">
        <f>IF(C29="","",IF(ISNUMBER(C29),IF(ABS(C29-2)&lt;=0.01,"Đúng","Chưa đúng"),"Gõ một số"))</f>
        <v>Đúng</v>
      </c>
      <c r="E29" s="7" t="s">
        <v>304</v>
      </c>
    </row>
    <row r="30" ht="33.0" customHeight="1">
      <c r="A30" s="8" t="s">
        <v>305</v>
      </c>
      <c r="B30" s="7" t="s">
        <v>306</v>
      </c>
      <c r="C30" s="17" t="s">
        <v>103</v>
      </c>
      <c r="D30" s="15" t="str">
        <f>IF(C30="","",IF(C30="wrong_intent","Đúng","Chưa đúng"))</f>
        <v>Đúng</v>
      </c>
      <c r="E30" s="7" t="s">
        <v>307</v>
      </c>
    </row>
    <row r="31" ht="18.0" customHeight="1">
      <c r="A31" s="8" t="s">
        <v>308</v>
      </c>
      <c r="B31" s="7" t="s">
        <v>309</v>
      </c>
      <c r="C31" s="14">
        <v>3.0</v>
      </c>
      <c r="D31" s="15" t="str">
        <f>IF(C31="","",IF(ISNUMBER(C31),IF(ABS(C31-3)&lt;=0.01,"Đúng","Chưa đúng"),"Gõ một số"))</f>
        <v>Đúng</v>
      </c>
      <c r="E31" s="7" t="s">
        <v>304</v>
      </c>
    </row>
    <row r="32" ht="33.0" customHeight="1">
      <c r="A32" s="8" t="s">
        <v>310</v>
      </c>
      <c r="B32" s="7" t="s">
        <v>311</v>
      </c>
      <c r="C32" s="17" t="s">
        <v>105</v>
      </c>
      <c r="D32" s="15" t="str">
        <f>IF(C32="","",IF(C32="missing_lookup","Đúng","Chưa đúng"))</f>
        <v>Đúng</v>
      </c>
      <c r="E32" s="7" t="s">
        <v>307</v>
      </c>
    </row>
    <row r="33" ht="18.0" customHeight="1">
      <c r="A33" s="8" t="s">
        <v>312</v>
      </c>
      <c r="B33" s="7" t="s">
        <v>313</v>
      </c>
      <c r="C33" s="14">
        <v>4.0</v>
      </c>
      <c r="D33" s="15" t="str">
        <f>IF(C33="","",IF(ISNUMBER(C33),IF(ABS(C33-4)&lt;=0.01,"Đúng","Chưa đúng"),"Gõ một số"))</f>
        <v>Đúng</v>
      </c>
      <c r="E33" s="7" t="s">
        <v>304</v>
      </c>
    </row>
    <row r="34" ht="33.0" customHeight="1">
      <c r="A34" s="8" t="s">
        <v>314</v>
      </c>
      <c r="B34" s="7" t="s">
        <v>315</v>
      </c>
      <c r="C34" s="17" t="s">
        <v>110</v>
      </c>
      <c r="D34" s="15" t="str">
        <f>IF(C34="","",IF(C34="missing_escalation","Đúng","Chưa đúng"))</f>
        <v>Đúng</v>
      </c>
      <c r="E34" s="7" t="s">
        <v>307</v>
      </c>
    </row>
    <row r="35" ht="18.0" customHeight="1">
      <c r="A35" s="8" t="s">
        <v>316</v>
      </c>
      <c r="B35" s="7" t="s">
        <v>317</v>
      </c>
      <c r="C35" s="14">
        <v>4.0</v>
      </c>
      <c r="D35" s="15" t="str">
        <f>IF(C35="","",IF(ISNUMBER(C35),IF(ABS(C35-4)&lt;=0.01,"Đúng","Chưa đúng"),"Gõ một số"))</f>
        <v>Đúng</v>
      </c>
      <c r="E35" s="7" t="s">
        <v>304</v>
      </c>
    </row>
    <row r="36" ht="33.0" customHeight="1">
      <c r="A36" s="8" t="s">
        <v>318</v>
      </c>
      <c r="B36" s="7" t="s">
        <v>319</v>
      </c>
      <c r="C36" s="17" t="s">
        <v>113</v>
      </c>
      <c r="D36" s="15" t="str">
        <f>IF(C36="","",IF(C36="no_next_step","Đúng","Chưa đúng"))</f>
        <v>Đúng</v>
      </c>
      <c r="E36" s="7" t="s">
        <v>307</v>
      </c>
    </row>
    <row r="37" ht="18.0" customHeight="1">
      <c r="A37" s="8" t="s">
        <v>320</v>
      </c>
      <c r="B37" s="7" t="s">
        <v>321</v>
      </c>
      <c r="C37" s="17" t="s">
        <v>322</v>
      </c>
      <c r="D37" s="15" t="str">
        <f>IF(C37="","",IF(C37="A","Đúng","Chưa đúng"))</f>
        <v>Đúng</v>
      </c>
      <c r="E37" s="7" t="s">
        <v>323</v>
      </c>
    </row>
    <row r="38" ht="15.75" customHeight="1"/>
    <row r="39" ht="18.0" customHeight="1">
      <c r="A39" s="13" t="s">
        <v>234</v>
      </c>
      <c r="B39" s="11"/>
      <c r="C39" s="18">
        <f>COUNTIF(D29:D37,"Đúng")</f>
        <v>9</v>
      </c>
      <c r="D39" s="7" t="s">
        <v>235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A26:E26"/>
    <mergeCell ref="A39:B39"/>
    <mergeCell ref="B18:E18"/>
    <mergeCell ref="B19:E19"/>
    <mergeCell ref="B20:E20"/>
    <mergeCell ref="B21:E21"/>
    <mergeCell ref="B22:E22"/>
    <mergeCell ref="B23:E23"/>
    <mergeCell ref="B24:E24"/>
  </mergeCells>
  <dataValidations>
    <dataValidation type="list" allowBlank="1" sqref="C37">
      <formula1>'_ds'!$B$1:$B$3</formula1>
    </dataValidation>
    <dataValidation type="list" allowBlank="1" sqref="C30 C32 C34 C36">
      <formula1>'_ds'!$F$1:$F$5</formula1>
    </dataValidation>
  </dataValidation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324</v>
      </c>
    </row>
    <row r="2" ht="18.0" customHeight="1">
      <c r="A2" s="2" t="s">
        <v>192</v>
      </c>
    </row>
    <row r="4" ht="33.0" customHeight="1">
      <c r="A4" s="4" t="s">
        <v>325</v>
      </c>
    </row>
    <row r="5" ht="33.0" customHeight="1">
      <c r="A5" s="4" t="s">
        <v>326</v>
      </c>
    </row>
    <row r="6" ht="33.0" customHeight="1">
      <c r="A6" s="4" t="s">
        <v>327</v>
      </c>
    </row>
    <row r="8" ht="31.5" customHeight="1">
      <c r="A8" s="10" t="s">
        <v>328</v>
      </c>
      <c r="B8" s="11"/>
      <c r="C8" s="6" t="s">
        <v>329</v>
      </c>
      <c r="D8" s="6" t="s">
        <v>330</v>
      </c>
      <c r="E8" s="6" t="s">
        <v>331</v>
      </c>
    </row>
    <row r="9" ht="18.0" customHeight="1">
      <c r="A9" s="12" t="s">
        <v>332</v>
      </c>
      <c r="B9" s="11"/>
      <c r="C9" s="7" t="s">
        <v>333</v>
      </c>
      <c r="D9" s="7" t="s">
        <v>334</v>
      </c>
      <c r="E9" s="7" t="s">
        <v>335</v>
      </c>
    </row>
    <row r="10" ht="18.0" customHeight="1">
      <c r="A10" s="12" t="s">
        <v>336</v>
      </c>
      <c r="B10" s="11"/>
      <c r="C10" s="7" t="s">
        <v>337</v>
      </c>
      <c r="D10" s="7" t="s">
        <v>337</v>
      </c>
      <c r="E10" s="7" t="s">
        <v>337</v>
      </c>
    </row>
    <row r="11" ht="18.0" customHeight="1">
      <c r="A11" s="12" t="s">
        <v>338</v>
      </c>
      <c r="B11" s="11"/>
      <c r="C11" s="7" t="s">
        <v>339</v>
      </c>
      <c r="D11" s="7" t="s">
        <v>340</v>
      </c>
      <c r="E11" s="7" t="s">
        <v>341</v>
      </c>
    </row>
    <row r="12" ht="18.0" customHeight="1">
      <c r="A12" s="12" t="s">
        <v>342</v>
      </c>
      <c r="B12" s="11"/>
      <c r="C12" s="7" t="s">
        <v>343</v>
      </c>
      <c r="D12" s="7" t="s">
        <v>344</v>
      </c>
      <c r="E12" s="7" t="s">
        <v>345</v>
      </c>
    </row>
    <row r="14" ht="33.0" customHeight="1">
      <c r="A14" s="4" t="s">
        <v>346</v>
      </c>
    </row>
    <row r="16" ht="18.0" customHeight="1">
      <c r="A16" s="6" t="s">
        <v>207</v>
      </c>
      <c r="B16" s="6" t="s">
        <v>208</v>
      </c>
      <c r="C16" s="6" t="s">
        <v>209</v>
      </c>
      <c r="D16" s="6" t="s">
        <v>210</v>
      </c>
      <c r="E16" s="6" t="s">
        <v>211</v>
      </c>
    </row>
    <row r="17" ht="48.0" customHeight="1">
      <c r="A17" s="8" t="s">
        <v>347</v>
      </c>
      <c r="B17" s="7" t="s">
        <v>348</v>
      </c>
      <c r="C17" s="17" t="s">
        <v>349</v>
      </c>
      <c r="D17" s="15" t="str">
        <f>IF(C17="","",IF(C17="Thiếu đặc tả → sửa câu lệnh","Đúng","Chưa đúng"))</f>
        <v>Đúng</v>
      </c>
      <c r="E17" s="7" t="s">
        <v>350</v>
      </c>
    </row>
    <row r="18" ht="48.0" customHeight="1">
      <c r="A18" s="8" t="s">
        <v>351</v>
      </c>
      <c r="B18" s="7" t="s">
        <v>352</v>
      </c>
      <c r="C18" s="17" t="s">
        <v>353</v>
      </c>
      <c r="D18" s="15" t="str">
        <f>IF(C18="","",IF(C18="Thiếu năng lực hệ thống → sửa kỹ thuật","Đúng","Chưa đúng"))</f>
        <v>Đúng</v>
      </c>
      <c r="E18" s="7" t="s">
        <v>350</v>
      </c>
    </row>
    <row r="19" ht="63.0" customHeight="1">
      <c r="A19" s="8" t="s">
        <v>354</v>
      </c>
      <c r="B19" s="7" t="s">
        <v>355</v>
      </c>
      <c r="C19" s="17" t="s">
        <v>356</v>
      </c>
      <c r="D19" s="15" t="str">
        <f>IF(C19="","",IF(C19="Lúc được lúc không → viết bài đánh giá tự động","Đúng","Chưa đúng"))</f>
        <v>Đúng</v>
      </c>
      <c r="E19" s="7" t="s">
        <v>350</v>
      </c>
    </row>
    <row r="20" ht="33.0" customHeight="1">
      <c r="A20" s="8" t="s">
        <v>357</v>
      </c>
      <c r="B20" s="7" t="s">
        <v>358</v>
      </c>
      <c r="C20" s="17" t="s">
        <v>359</v>
      </c>
      <c r="D20" s="15" t="str">
        <f t="shared" ref="D20:D23" si="1">IF(C20="","",IF(C20="Mã lệnh","Đúng","Chưa đúng"))</f>
        <v>Đúng</v>
      </c>
      <c r="E20" s="7" t="s">
        <v>360</v>
      </c>
    </row>
    <row r="21" ht="33.0" customHeight="1">
      <c r="A21" s="8" t="s">
        <v>361</v>
      </c>
      <c r="B21" s="7" t="s">
        <v>362</v>
      </c>
      <c r="C21" s="17" t="s">
        <v>359</v>
      </c>
      <c r="D21" s="15" t="str">
        <f t="shared" si="1"/>
        <v>Đúng</v>
      </c>
      <c r="E21" s="7" t="s">
        <v>363</v>
      </c>
    </row>
    <row r="22" ht="33.0" customHeight="1">
      <c r="A22" s="8" t="s">
        <v>364</v>
      </c>
      <c r="B22" s="7" t="s">
        <v>365</v>
      </c>
      <c r="C22" s="17" t="s">
        <v>359</v>
      </c>
      <c r="D22" s="15" t="str">
        <f t="shared" si="1"/>
        <v>Đúng</v>
      </c>
      <c r="E22" s="7" t="s">
        <v>366</v>
      </c>
    </row>
    <row r="23" ht="33.0" customHeight="1">
      <c r="A23" s="8" t="s">
        <v>367</v>
      </c>
      <c r="B23" s="7" t="s">
        <v>368</v>
      </c>
      <c r="C23" s="17" t="s">
        <v>359</v>
      </c>
      <c r="D23" s="15" t="str">
        <f t="shared" si="1"/>
        <v>Đúng</v>
      </c>
      <c r="E23" s="7" t="s">
        <v>366</v>
      </c>
    </row>
    <row r="24" ht="33.0" customHeight="1">
      <c r="A24" s="8" t="s">
        <v>369</v>
      </c>
      <c r="B24" s="7" t="s">
        <v>370</v>
      </c>
      <c r="C24" s="17" t="s">
        <v>371</v>
      </c>
      <c r="D24" s="15" t="str">
        <f>IF(C24="","",IF(C24="Giám khảo AI","Đúng","Chưa đúng"))</f>
        <v>Đúng</v>
      </c>
      <c r="E24" s="7" t="s">
        <v>360</v>
      </c>
    </row>
    <row r="25" ht="33.0" customHeight="1">
      <c r="A25" s="8" t="s">
        <v>372</v>
      </c>
      <c r="B25" s="7" t="s">
        <v>373</v>
      </c>
      <c r="C25" s="17" t="s">
        <v>374</v>
      </c>
      <c r="D25" s="15" t="str">
        <f>IF(C25="","",IF(C25="Người quyết","Đúng","Chưa đúng"))</f>
        <v>Đúng</v>
      </c>
      <c r="E25" s="7" t="s">
        <v>375</v>
      </c>
    </row>
    <row r="26" ht="33.0" customHeight="1">
      <c r="A26" s="8" t="s">
        <v>376</v>
      </c>
      <c r="B26" s="7" t="s">
        <v>377</v>
      </c>
      <c r="C26" s="17" t="s">
        <v>378</v>
      </c>
      <c r="D26" s="15" t="str">
        <f>IF(C26="","",IF(C26="Đạt · đúng 1 nhãn","Đúng","Chưa đúng"))</f>
        <v>Đúng</v>
      </c>
      <c r="E26" s="7" t="s">
        <v>379</v>
      </c>
    </row>
    <row r="27" ht="33.0" customHeight="1">
      <c r="A27" s="8" t="s">
        <v>380</v>
      </c>
      <c r="B27" s="7" t="s">
        <v>381</v>
      </c>
      <c r="C27" s="17" t="s">
        <v>382</v>
      </c>
      <c r="D27" s="15" t="str">
        <f>IF(C27="","",IF(C27="Không đạt · không có nhãn hợp lệ","Đúng","Chưa đúng"))</f>
        <v>Đúng</v>
      </c>
      <c r="E27" s="7" t="s">
        <v>379</v>
      </c>
    </row>
    <row r="28" ht="33.0" customHeight="1">
      <c r="A28" s="8" t="s">
        <v>383</v>
      </c>
      <c r="B28" s="7" t="s">
        <v>384</v>
      </c>
      <c r="C28" s="17" t="s">
        <v>385</v>
      </c>
      <c r="D28" s="15" t="str">
        <f>IF(C28="","",IF(C28="Không đạt · nhiều hơn 1 nhãn","Đúng","Chưa đúng"))</f>
        <v>Đúng</v>
      </c>
      <c r="E28" s="7" t="s">
        <v>379</v>
      </c>
    </row>
    <row r="29" ht="33.0" customHeight="1">
      <c r="A29" s="8" t="s">
        <v>386</v>
      </c>
      <c r="B29" s="7" t="s">
        <v>387</v>
      </c>
      <c r="C29" s="17" t="s">
        <v>225</v>
      </c>
      <c r="D29" s="15" t="str">
        <f>IF(C29="","",IF(C29="B","Đúng","Chưa đúng"))</f>
        <v>Đúng</v>
      </c>
      <c r="E29" s="7" t="s">
        <v>388</v>
      </c>
    </row>
    <row r="30" ht="33.0" customHeight="1">
      <c r="A30" s="8" t="s">
        <v>389</v>
      </c>
      <c r="B30" s="7" t="s">
        <v>390</v>
      </c>
      <c r="C30" s="17" t="s">
        <v>391</v>
      </c>
      <c r="D30" s="15" t="str">
        <f>IF(C30="","",IF(C30="Lặp tiếp","Đúng","Chưa đúng"))</f>
        <v>Đúng</v>
      </c>
      <c r="E30" s="7" t="s">
        <v>392</v>
      </c>
    </row>
    <row r="31" ht="33.0" customHeight="1">
      <c r="A31" s="8" t="s">
        <v>393</v>
      </c>
      <c r="B31" s="7" t="s">
        <v>394</v>
      </c>
      <c r="C31" s="17" t="s">
        <v>395</v>
      </c>
      <c r="D31" s="15" t="str">
        <f>IF(C31="","",IF(C31="Sửa câu lệnh","Đúng","Chưa đúng"))</f>
        <v>Đúng</v>
      </c>
      <c r="E31" s="7" t="s">
        <v>392</v>
      </c>
    </row>
    <row r="32" ht="15.75" customHeight="1"/>
    <row r="33" ht="18.0" customHeight="1">
      <c r="A33" s="13" t="s">
        <v>234</v>
      </c>
      <c r="B33" s="11"/>
      <c r="C33" s="18">
        <f>COUNTIF(D17:D31,"Đúng")</f>
        <v>15</v>
      </c>
      <c r="D33" s="7" t="s">
        <v>396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1:B11"/>
    <mergeCell ref="A12:B12"/>
    <mergeCell ref="A14:E14"/>
    <mergeCell ref="A33:B33"/>
    <mergeCell ref="A2:E2"/>
    <mergeCell ref="A4:E4"/>
    <mergeCell ref="A5:E5"/>
    <mergeCell ref="A6:E6"/>
    <mergeCell ref="A8:B8"/>
    <mergeCell ref="A9:B9"/>
    <mergeCell ref="A10:B10"/>
  </mergeCells>
  <dataValidations>
    <dataValidation type="list" allowBlank="1" sqref="C31">
      <formula1>'_ds'!$K$1:$K$3</formula1>
    </dataValidation>
    <dataValidation type="list" allowBlank="1" sqref="C20:C25">
      <formula1>'_ds'!$H$1:$H$3</formula1>
    </dataValidation>
    <dataValidation type="list" allowBlank="1" sqref="C29">
      <formula1>'_ds'!$B$1:$B$3</formula1>
    </dataValidation>
    <dataValidation type="list" allowBlank="1" sqref="C30">
      <formula1>'_ds'!$J$1:$J$3</formula1>
    </dataValidation>
    <dataValidation type="list" allowBlank="1" sqref="C17:C19">
      <formula1>'_ds'!$G$1:$G$3</formula1>
    </dataValidation>
    <dataValidation type="list" allowBlank="1" sqref="C26:C28">
      <formula1>'_ds'!$I$1:$I$3</formula1>
    </dataValidation>
  </dataValidations>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397</v>
      </c>
    </row>
    <row r="2" ht="18.0" customHeight="1">
      <c r="A2" s="2" t="s">
        <v>192</v>
      </c>
    </row>
    <row r="4" ht="18.0" customHeight="1">
      <c r="A4" s="4" t="s">
        <v>398</v>
      </c>
    </row>
    <row r="5" ht="18.0" customHeight="1">
      <c r="A5" s="4" t="s">
        <v>399</v>
      </c>
    </row>
    <row r="6" ht="33.0" customHeight="1">
      <c r="A6" s="4" t="s">
        <v>400</v>
      </c>
    </row>
    <row r="8" ht="18.0" customHeight="1">
      <c r="A8" s="6" t="s">
        <v>401</v>
      </c>
      <c r="B8" s="6" t="s">
        <v>402</v>
      </c>
      <c r="C8" s="6" t="s">
        <v>371</v>
      </c>
    </row>
    <row r="9" ht="18.0" customHeight="1">
      <c r="A9" s="7" t="s">
        <v>90</v>
      </c>
      <c r="B9" s="7" t="s">
        <v>403</v>
      </c>
      <c r="C9" s="7" t="s">
        <v>403</v>
      </c>
    </row>
    <row r="10" ht="18.0" customHeight="1">
      <c r="A10" s="7" t="s">
        <v>93</v>
      </c>
      <c r="B10" s="7" t="s">
        <v>403</v>
      </c>
      <c r="C10" s="7" t="s">
        <v>403</v>
      </c>
    </row>
    <row r="11" ht="18.0" customHeight="1">
      <c r="A11" s="7" t="s">
        <v>96</v>
      </c>
      <c r="B11" s="7" t="s">
        <v>404</v>
      </c>
      <c r="C11" s="7" t="s">
        <v>403</v>
      </c>
    </row>
    <row r="12" ht="18.0" customHeight="1">
      <c r="A12" s="7" t="s">
        <v>109</v>
      </c>
      <c r="B12" s="7" t="s">
        <v>403</v>
      </c>
      <c r="C12" s="7" t="s">
        <v>403</v>
      </c>
    </row>
    <row r="13" ht="18.0" customHeight="1">
      <c r="A13" s="7" t="s">
        <v>112</v>
      </c>
      <c r="B13" s="7" t="s">
        <v>403</v>
      </c>
      <c r="C13" s="7" t="s">
        <v>404</v>
      </c>
    </row>
    <row r="14" ht="18.0" customHeight="1">
      <c r="A14" s="7" t="s">
        <v>128</v>
      </c>
      <c r="B14" s="7" t="s">
        <v>404</v>
      </c>
      <c r="C14" s="7" t="s">
        <v>404</v>
      </c>
    </row>
    <row r="15" ht="18.0" customHeight="1">
      <c r="A15" s="7" t="s">
        <v>131</v>
      </c>
      <c r="B15" s="7" t="s">
        <v>403</v>
      </c>
      <c r="C15" s="7" t="s">
        <v>403</v>
      </c>
    </row>
    <row r="16" ht="18.0" customHeight="1">
      <c r="A16" s="7" t="s">
        <v>134</v>
      </c>
      <c r="B16" s="7" t="s">
        <v>404</v>
      </c>
      <c r="C16" s="7" t="s">
        <v>403</v>
      </c>
    </row>
    <row r="17" ht="18.0" customHeight="1">
      <c r="A17" s="7" t="s">
        <v>137</v>
      </c>
      <c r="B17" s="7" t="s">
        <v>403</v>
      </c>
      <c r="C17" s="7" t="s">
        <v>403</v>
      </c>
    </row>
    <row r="18" ht="18.0" customHeight="1">
      <c r="A18" s="7" t="s">
        <v>140</v>
      </c>
      <c r="B18" s="7" t="s">
        <v>404</v>
      </c>
      <c r="C18" s="7" t="s">
        <v>404</v>
      </c>
    </row>
    <row r="19" ht="18.0" customHeight="1">
      <c r="A19" s="7" t="s">
        <v>143</v>
      </c>
      <c r="B19" s="7" t="s">
        <v>403</v>
      </c>
      <c r="C19" s="7" t="s">
        <v>403</v>
      </c>
    </row>
    <row r="20" ht="18.0" customHeight="1">
      <c r="A20" s="7" t="s">
        <v>146</v>
      </c>
      <c r="B20" s="7" t="s">
        <v>403</v>
      </c>
      <c r="C20" s="7" t="s">
        <v>403</v>
      </c>
    </row>
    <row r="21" ht="15.75" customHeight="1"/>
    <row r="22" ht="33.0" customHeight="1">
      <c r="A22" s="4" t="s">
        <v>405</v>
      </c>
    </row>
    <row r="23" ht="15.75" customHeight="1"/>
    <row r="24" ht="18.0" customHeight="1">
      <c r="A24" s="6" t="s">
        <v>207</v>
      </c>
      <c r="B24" s="6" t="s">
        <v>208</v>
      </c>
      <c r="C24" s="6" t="s">
        <v>209</v>
      </c>
      <c r="D24" s="6" t="s">
        <v>210</v>
      </c>
      <c r="E24" s="6" t="s">
        <v>211</v>
      </c>
    </row>
    <row r="25" ht="18.0" customHeight="1">
      <c r="A25" s="8" t="s">
        <v>406</v>
      </c>
      <c r="B25" s="7" t="s">
        <v>407</v>
      </c>
      <c r="C25" s="14">
        <v>8.0</v>
      </c>
      <c r="D25" s="15" t="str">
        <f>IF(C25="","",IF(ISNUMBER(C25),IF(ABS(C25-8)&lt;=0.01,"Đúng","Chưa đúng"),"Gõ một số"))</f>
        <v>Đúng</v>
      </c>
      <c r="E25" s="7" t="s">
        <v>408</v>
      </c>
    </row>
    <row r="26" ht="18.0" customHeight="1">
      <c r="A26" s="8" t="s">
        <v>409</v>
      </c>
      <c r="B26" s="7" t="s">
        <v>410</v>
      </c>
      <c r="C26" s="14">
        <v>9.0</v>
      </c>
      <c r="D26" s="15" t="str">
        <f t="shared" ref="D26:D27" si="1">IF(C26="","",IF(ISNUMBER(C26),IF(ABS(C26-9)&lt;=0.01,"Đúng","Chưa đúng"),"Gõ một số"))</f>
        <v>Đúng</v>
      </c>
      <c r="E26" s="7" t="s">
        <v>408</v>
      </c>
    </row>
    <row r="27" ht="18.0" customHeight="1">
      <c r="A27" s="8" t="s">
        <v>411</v>
      </c>
      <c r="B27" s="7" t="s">
        <v>412</v>
      </c>
      <c r="C27" s="14">
        <v>9.0</v>
      </c>
      <c r="D27" s="15" t="str">
        <f t="shared" si="1"/>
        <v>Đúng</v>
      </c>
      <c r="E27" s="7" t="s">
        <v>408</v>
      </c>
    </row>
    <row r="28" ht="18.0" customHeight="1">
      <c r="A28" s="8" t="s">
        <v>413</v>
      </c>
      <c r="B28" s="7" t="s">
        <v>414</v>
      </c>
      <c r="C28" s="14">
        <v>7.0</v>
      </c>
      <c r="D28" s="15" t="str">
        <f>IF(C28="","",IF(ISNUMBER(C28),IF(ABS(C28-7)&lt;=0.01,"Đúng","Chưa đúng"),"Gõ một số"))</f>
        <v>Đúng</v>
      </c>
      <c r="E28" s="7" t="s">
        <v>408</v>
      </c>
    </row>
    <row r="29" ht="18.0" customHeight="1">
      <c r="A29" s="8" t="s">
        <v>415</v>
      </c>
      <c r="B29" s="7" t="s">
        <v>416</v>
      </c>
      <c r="C29" s="14">
        <v>2.0</v>
      </c>
      <c r="D29" s="15" t="str">
        <f>IF(C29="","",IF(ISNUMBER(C29),IF(ABS(C29-2)&lt;=0.01,"Đúng","Chưa đúng"),"Gõ một số"))</f>
        <v>Đúng</v>
      </c>
      <c r="E29" s="7" t="s">
        <v>408</v>
      </c>
    </row>
    <row r="30" ht="18.0" customHeight="1">
      <c r="A30" s="8" t="s">
        <v>417</v>
      </c>
      <c r="B30" s="7" t="s">
        <v>418</v>
      </c>
      <c r="C30" s="14">
        <v>1.0</v>
      </c>
      <c r="D30" s="15" t="str">
        <f>IF(C30="","",IF(ISNUMBER(C30),IF(ABS(C30-1)&lt;=0.01,"Đúng","Chưa đúng"),"Gõ một số"))</f>
        <v>Đúng</v>
      </c>
      <c r="E30" s="7" t="s">
        <v>408</v>
      </c>
    </row>
    <row r="31" ht="18.0" customHeight="1">
      <c r="A31" s="8" t="s">
        <v>419</v>
      </c>
      <c r="B31" s="7" t="s">
        <v>420</v>
      </c>
      <c r="C31" s="14">
        <v>2.0</v>
      </c>
      <c r="D31" s="15" t="str">
        <f>IF(C31="","",IF(ISNUMBER(C31),IF(ABS(C31-2)&lt;=0.01,"Đúng","Chưa đúng"),"Gõ một số"))</f>
        <v>Đúng</v>
      </c>
      <c r="E31" s="7" t="s">
        <v>408</v>
      </c>
    </row>
    <row r="32" ht="18.0" customHeight="1">
      <c r="A32" s="8" t="s">
        <v>421</v>
      </c>
      <c r="B32" s="7" t="s">
        <v>422</v>
      </c>
      <c r="C32" s="20">
        <v>0.875</v>
      </c>
      <c r="D32" s="15" t="str">
        <f>IF(C32="","",IF(ISNUMBER(C32),IF(OR(ABS(C32-0.875)&lt;=0.006,ABS(C32-87.5)&lt;=0.6),"Đúng","Chưa đúng"),"Gõ một số"))</f>
        <v>Đúng</v>
      </c>
      <c r="E32" s="7" t="s">
        <v>408</v>
      </c>
    </row>
    <row r="33" ht="18.0" customHeight="1">
      <c r="A33" s="8" t="s">
        <v>423</v>
      </c>
      <c r="B33" s="7" t="s">
        <v>424</v>
      </c>
      <c r="C33" s="16">
        <v>0.5</v>
      </c>
      <c r="D33" s="15" t="str">
        <f>IF(C33="","",IF(ISNUMBER(C33),IF(OR(ABS(C33-0.5)&lt;=0.006,ABS(C33-50)&lt;=0.6),"Đúng","Chưa đúng"),"Gõ một số"))</f>
        <v>Đúng</v>
      </c>
      <c r="E33" s="7" t="s">
        <v>408</v>
      </c>
    </row>
    <row r="34" ht="18.0" customHeight="1">
      <c r="A34" s="8" t="s">
        <v>425</v>
      </c>
      <c r="B34" s="7" t="s">
        <v>426</v>
      </c>
      <c r="C34" s="17" t="s">
        <v>225</v>
      </c>
      <c r="D34" s="15" t="str">
        <f>IF(C34="","",IF(C34="B","Đúng","Chưa đúng"))</f>
        <v>Đúng</v>
      </c>
      <c r="E34" s="7" t="s">
        <v>427</v>
      </c>
    </row>
    <row r="35" ht="18.0" customHeight="1">
      <c r="A35" s="8" t="s">
        <v>428</v>
      </c>
      <c r="B35" s="7" t="s">
        <v>429</v>
      </c>
      <c r="C35" s="17" t="s">
        <v>430</v>
      </c>
      <c r="D35" s="15" t="str">
        <f>IF(C35="","",IF(C35="Cho qua lỗi","Đúng","Chưa đúng"))</f>
        <v>Đúng</v>
      </c>
      <c r="E35" s="7" t="s">
        <v>408</v>
      </c>
    </row>
    <row r="36" ht="63.0" customHeight="1">
      <c r="A36" s="8" t="s">
        <v>431</v>
      </c>
      <c r="B36" s="7" t="s">
        <v>432</v>
      </c>
      <c r="C36" s="21">
        <v>0.4</v>
      </c>
      <c r="D36" s="15" t="str">
        <f>IF(C36="","",IF(ISNUMBER(C36),IF(ABS(C36-0.4)&lt;=0.006,"Đúng","Chưa đúng"),"Gõ một số"))</f>
        <v>Đúng</v>
      </c>
      <c r="E36" s="7" t="s">
        <v>433</v>
      </c>
    </row>
    <row r="37" ht="33.0" customHeight="1">
      <c r="A37" s="8" t="s">
        <v>434</v>
      </c>
      <c r="B37" s="7" t="s">
        <v>435</v>
      </c>
      <c r="C37" s="14">
        <v>4.0</v>
      </c>
      <c r="D37" s="15" t="str">
        <f>IF(C37="","",IF(ISNUMBER(C37),IF(ABS(C37-4)&lt;=0.01,"Đúng","Chưa đúng"),"Gõ một số"))</f>
        <v>Đúng</v>
      </c>
      <c r="E37" s="7" t="s">
        <v>427</v>
      </c>
    </row>
    <row r="38" ht="33.0" customHeight="1">
      <c r="A38" s="8" t="s">
        <v>436</v>
      </c>
      <c r="B38" s="7" t="s">
        <v>437</v>
      </c>
      <c r="C38" s="17" t="s">
        <v>218</v>
      </c>
      <c r="D38" s="15" t="str">
        <f>IF(C38="","",IF(C38="Có","Đúng","Chưa đúng"))</f>
        <v>Đúng</v>
      </c>
      <c r="E38" s="7" t="s">
        <v>427</v>
      </c>
    </row>
    <row r="39" ht="33.0" customHeight="1">
      <c r="A39" s="8" t="s">
        <v>438</v>
      </c>
      <c r="B39" s="7" t="s">
        <v>439</v>
      </c>
      <c r="C39" s="17" t="s">
        <v>440</v>
      </c>
      <c r="D39" s="15" t="str">
        <f t="shared" ref="D39:D41" si="2">IF(C39="","",IF(C39="Sai","Đúng","Chưa đúng"))</f>
        <v>Đúng</v>
      </c>
      <c r="E39" s="7" t="s">
        <v>433</v>
      </c>
    </row>
    <row r="40" ht="18.0" customHeight="1">
      <c r="A40" s="8" t="s">
        <v>441</v>
      </c>
      <c r="B40" s="7" t="s">
        <v>442</v>
      </c>
      <c r="C40" s="17" t="s">
        <v>440</v>
      </c>
      <c r="D40" s="15" t="str">
        <f t="shared" si="2"/>
        <v>Đúng</v>
      </c>
      <c r="E40" s="7" t="s">
        <v>443</v>
      </c>
    </row>
    <row r="41" ht="18.0" customHeight="1">
      <c r="A41" s="8" t="s">
        <v>444</v>
      </c>
      <c r="B41" s="7" t="s">
        <v>445</v>
      </c>
      <c r="C41" s="17" t="s">
        <v>440</v>
      </c>
      <c r="D41" s="15" t="str">
        <f t="shared" si="2"/>
        <v>Đúng</v>
      </c>
      <c r="E41" s="7" t="s">
        <v>433</v>
      </c>
    </row>
    <row r="42" ht="33.0" customHeight="1">
      <c r="A42" s="8" t="s">
        <v>446</v>
      </c>
      <c r="B42" s="7" t="s">
        <v>447</v>
      </c>
      <c r="C42" s="17" t="s">
        <v>448</v>
      </c>
      <c r="D42" s="15" t="str">
        <f>IF(C42="","",IF(C42="Đúng","Đúng","Chưa đúng"))</f>
        <v>Đúng</v>
      </c>
      <c r="E42" s="7" t="s">
        <v>449</v>
      </c>
    </row>
    <row r="43" ht="15.75" customHeight="1"/>
    <row r="44" ht="18.0" customHeight="1">
      <c r="A44" s="13" t="s">
        <v>234</v>
      </c>
      <c r="B44" s="11"/>
      <c r="C44" s="18">
        <f>COUNTIF(D25:D42,"Đúng")</f>
        <v>18</v>
      </c>
      <c r="D44" s="7" t="s">
        <v>450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E2"/>
    <mergeCell ref="A4:E4"/>
    <mergeCell ref="A5:E5"/>
    <mergeCell ref="A6:E6"/>
    <mergeCell ref="A22:E22"/>
    <mergeCell ref="A44:B44"/>
  </mergeCells>
  <dataValidations>
    <dataValidation type="list" allowBlank="1" sqref="C35">
      <formula1>'_ds'!$L$1:$L$2</formula1>
    </dataValidation>
    <dataValidation type="list" allowBlank="1" sqref="C34">
      <formula1>'_ds'!$B$1:$B$3</formula1>
    </dataValidation>
    <dataValidation type="list" allowBlank="1" sqref="C38">
      <formula1>'_ds'!$A$1:$A$2</formula1>
    </dataValidation>
    <dataValidation type="list" allowBlank="1" sqref="C39:C42">
      <formula1>'_ds'!$M$1:$M$2</formula1>
    </dataValidation>
  </dataValidations>
  <printOptions/>
  <pageMargins bottom="1.0" footer="0.0" header="0.0" left="0.75" right="0.75" top="1.0"/>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34.0"/>
    <col customWidth="1" min="3" max="3" width="40.0"/>
    <col customWidth="1" min="4" max="4" width="34.0"/>
    <col customWidth="1" min="5" max="5" width="22.0"/>
    <col customWidth="1" min="6" max="7" width="16.0"/>
    <col customWidth="1" min="8" max="26" width="8.71"/>
  </cols>
  <sheetData>
    <row r="1">
      <c r="A1" s="1" t="s">
        <v>451</v>
      </c>
    </row>
    <row r="2" ht="33.0" customHeight="1">
      <c r="A2" s="2" t="s">
        <v>452</v>
      </c>
    </row>
    <row r="3" ht="18.0" customHeight="1">
      <c r="A3" s="13" t="s">
        <v>453</v>
      </c>
      <c r="B3" s="11"/>
      <c r="C3" s="22" t="s">
        <v>454</v>
      </c>
      <c r="D3" s="19"/>
      <c r="E3" s="19"/>
      <c r="F3" s="19"/>
      <c r="G3" s="11"/>
    </row>
    <row r="5" ht="18.0" customHeight="1">
      <c r="A5" s="23" t="s">
        <v>455</v>
      </c>
    </row>
    <row r="6" ht="18.0" customHeight="1">
      <c r="A6" s="4" t="s">
        <v>456</v>
      </c>
    </row>
    <row r="7" ht="61.5" customHeight="1">
      <c r="A7" s="13" t="s">
        <v>457</v>
      </c>
      <c r="B7" s="11"/>
      <c r="C7" s="22" t="s">
        <v>458</v>
      </c>
      <c r="D7" s="19"/>
      <c r="E7" s="19"/>
      <c r="F7" s="11"/>
      <c r="G7" s="15"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ht="18.0" customHeight="1">
      <c r="A9" s="23" t="s">
        <v>459</v>
      </c>
    </row>
    <row r="10" ht="18.0" customHeight="1">
      <c r="A10" s="4" t="s">
        <v>460</v>
      </c>
    </row>
    <row r="11" ht="18.0" customHeight="1">
      <c r="A11" s="6" t="s">
        <v>461</v>
      </c>
      <c r="B11" s="6" t="s">
        <v>462</v>
      </c>
      <c r="C11" s="6" t="s">
        <v>463</v>
      </c>
      <c r="D11" s="10" t="s">
        <v>464</v>
      </c>
      <c r="E11" s="19"/>
      <c r="F11" s="19"/>
      <c r="G11" s="11"/>
    </row>
    <row r="12" ht="33.75" customHeight="1">
      <c r="A12" s="7" t="s">
        <v>90</v>
      </c>
      <c r="B12" s="17" t="s">
        <v>465</v>
      </c>
      <c r="C12" s="14">
        <v>4.0</v>
      </c>
      <c r="D12" s="22" t="s">
        <v>466</v>
      </c>
      <c r="E12" s="19"/>
      <c r="F12" s="19"/>
      <c r="G12" s="11"/>
    </row>
    <row r="13" ht="33.75" customHeight="1">
      <c r="A13" s="7" t="s">
        <v>93</v>
      </c>
      <c r="B13" s="17" t="s">
        <v>467</v>
      </c>
      <c r="C13" s="14">
        <v>3.0</v>
      </c>
      <c r="D13" s="22" t="s">
        <v>468</v>
      </c>
      <c r="E13" s="19"/>
      <c r="F13" s="19"/>
      <c r="G13" s="11"/>
    </row>
    <row r="14" ht="33.75" customHeight="1">
      <c r="A14" s="7" t="s">
        <v>96</v>
      </c>
      <c r="B14" s="17" t="s">
        <v>469</v>
      </c>
      <c r="C14" s="14">
        <v>3.0</v>
      </c>
      <c r="D14" s="22" t="s">
        <v>470</v>
      </c>
      <c r="E14" s="19"/>
      <c r="F14" s="19"/>
      <c r="G14" s="11"/>
    </row>
    <row r="15" ht="18.0" customHeight="1">
      <c r="A15" s="13" t="s">
        <v>471</v>
      </c>
      <c r="B15" s="11"/>
      <c r="C15" s="24">
        <f>IF(COUNT(C12:C14)&lt;3,"",PRODUCT(C12:C14))</f>
        <v>36</v>
      </c>
    </row>
    <row r="16" ht="18.0" customHeight="1">
      <c r="A16" s="13" t="s">
        <v>472</v>
      </c>
      <c r="B16" s="11"/>
      <c r="C16" s="14">
        <v>12.0</v>
      </c>
    </row>
    <row r="17" ht="18.0" customHeight="1">
      <c r="A17" s="13" t="s">
        <v>473</v>
      </c>
      <c r="B17" s="11"/>
      <c r="C17" s="24">
        <f>IF(OR(C15="",C16=""),"",C15-C16)</f>
        <v>24</v>
      </c>
    </row>
    <row r="18" ht="18.0" customHeight="1">
      <c r="A18" s="13" t="s">
        <v>474</v>
      </c>
      <c r="B18" s="11"/>
      <c r="C18" s="14">
        <v>15.0</v>
      </c>
      <c r="D18" s="15" t="str">
        <f>IF(OR(C18="",C17=""),"",IF(C18&gt;C17,"Chọn nhiều hơn số còn lại","Đạt"))</f>
        <v>Đạt</v>
      </c>
    </row>
    <row r="19" ht="18.0" customHeight="1">
      <c r="A19" s="13" t="s">
        <v>475</v>
      </c>
      <c r="B19" s="11"/>
      <c r="C19" s="14">
        <v>3.0</v>
      </c>
    </row>
    <row r="20" ht="18.0" customHeight="1">
      <c r="A20" s="13" t="s">
        <v>476</v>
      </c>
      <c r="B20" s="11"/>
      <c r="C20" s="18">
        <f>IF(OR(C18="",C19=""),"",C18*C19)</f>
        <v>45</v>
      </c>
      <c r="D20" s="15" t="str">
        <f>IF(C20="","",IF(AND(C20&gt;=40,C20&lt;=50),"Đạt","Nên trong khoảng 40–50 (trang 29)"))</f>
        <v>Đạt</v>
      </c>
    </row>
    <row r="21" ht="15.75" customHeight="1"/>
    <row r="22" ht="18.0" customHeight="1">
      <c r="A22" s="23" t="s">
        <v>477</v>
      </c>
    </row>
    <row r="23" ht="18.0" customHeight="1">
      <c r="A23" s="4" t="s">
        <v>478</v>
      </c>
    </row>
    <row r="24" ht="18.0" customHeight="1">
      <c r="A24" s="6" t="s">
        <v>461</v>
      </c>
      <c r="B24" s="6" t="s">
        <v>479</v>
      </c>
      <c r="C24" s="10" t="s">
        <v>480</v>
      </c>
      <c r="D24" s="11"/>
      <c r="E24" s="6" t="s">
        <v>481</v>
      </c>
    </row>
    <row r="25" ht="48.0" customHeight="1">
      <c r="A25" s="7" t="s">
        <v>90</v>
      </c>
      <c r="B25" s="17" t="s">
        <v>482</v>
      </c>
      <c r="C25" s="22" t="s">
        <v>483</v>
      </c>
      <c r="D25" s="11"/>
      <c r="E25" s="17" t="s">
        <v>262</v>
      </c>
    </row>
    <row r="26" ht="48.0" customHeight="1">
      <c r="A26" s="7" t="s">
        <v>93</v>
      </c>
      <c r="B26" s="17" t="s">
        <v>484</v>
      </c>
      <c r="C26" s="22" t="s">
        <v>485</v>
      </c>
      <c r="D26" s="11"/>
      <c r="E26" s="17" t="s">
        <v>262</v>
      </c>
    </row>
    <row r="27" ht="48.0" customHeight="1">
      <c r="A27" s="7" t="s">
        <v>96</v>
      </c>
      <c r="B27" s="17" t="s">
        <v>486</v>
      </c>
      <c r="C27" s="22" t="s">
        <v>487</v>
      </c>
      <c r="D27" s="11"/>
      <c r="E27" s="17" t="s">
        <v>262</v>
      </c>
    </row>
    <row r="28" ht="48.0" customHeight="1">
      <c r="A28" s="7" t="s">
        <v>109</v>
      </c>
      <c r="B28" s="17" t="s">
        <v>488</v>
      </c>
      <c r="C28" s="22" t="s">
        <v>489</v>
      </c>
      <c r="D28" s="11"/>
      <c r="E28" s="17" t="s">
        <v>266</v>
      </c>
    </row>
    <row r="29" ht="48.0" customHeight="1">
      <c r="A29" s="7" t="s">
        <v>112</v>
      </c>
      <c r="B29" s="17" t="s">
        <v>490</v>
      </c>
      <c r="C29" s="22" t="s">
        <v>491</v>
      </c>
      <c r="D29" s="11"/>
      <c r="E29" s="17" t="s">
        <v>266</v>
      </c>
    </row>
    <row r="30" ht="48.0" customHeight="1">
      <c r="A30" s="7" t="s">
        <v>128</v>
      </c>
      <c r="B30" s="17" t="s">
        <v>492</v>
      </c>
      <c r="C30" s="22" t="s">
        <v>493</v>
      </c>
      <c r="D30" s="11"/>
      <c r="E30" s="17" t="s">
        <v>266</v>
      </c>
    </row>
    <row r="31" ht="48.0" customHeight="1">
      <c r="A31" s="7" t="s">
        <v>131</v>
      </c>
      <c r="B31" s="17" t="s">
        <v>494</v>
      </c>
      <c r="C31" s="22" t="s">
        <v>495</v>
      </c>
      <c r="D31" s="11"/>
      <c r="E31" s="17" t="s">
        <v>271</v>
      </c>
    </row>
    <row r="32" ht="48.0" customHeight="1">
      <c r="A32" s="7" t="s">
        <v>134</v>
      </c>
      <c r="B32" s="17" t="s">
        <v>496</v>
      </c>
      <c r="C32" s="22" t="s">
        <v>497</v>
      </c>
      <c r="D32" s="11"/>
      <c r="E32" s="17" t="s">
        <v>271</v>
      </c>
    </row>
    <row r="33" ht="18.0" customHeight="1">
      <c r="B33" s="8" t="s">
        <v>498</v>
      </c>
      <c r="C33" s="24">
        <f>COUNTIF(E25:E32,"Đại diện")</f>
        <v>3</v>
      </c>
    </row>
    <row r="34" ht="18.0" customHeight="1">
      <c r="B34" s="8" t="s">
        <v>499</v>
      </c>
      <c r="C34" s="24">
        <f>COUNTIF(E25:E32,"Thử thách")</f>
        <v>3</v>
      </c>
    </row>
    <row r="35" ht="18.0" customHeight="1">
      <c r="B35" s="8" t="s">
        <v>500</v>
      </c>
      <c r="C35" s="24">
        <f>COUNTIF(E25:E32,"Hồi quy nghiêm trọng")</f>
        <v>2</v>
      </c>
    </row>
    <row r="36" ht="18.0" customHeight="1">
      <c r="B36" s="8" t="s">
        <v>210</v>
      </c>
      <c r="C36" s="15"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7" ht="15.75" customHeight="1"/>
    <row r="38" ht="18.0" customHeight="1">
      <c r="A38" s="23" t="s">
        <v>501</v>
      </c>
    </row>
    <row r="39" ht="18.0" customHeight="1">
      <c r="A39" s="4" t="s">
        <v>502</v>
      </c>
    </row>
    <row r="40" ht="18.0" customHeight="1">
      <c r="A40" s="6" t="s">
        <v>278</v>
      </c>
      <c r="B40" s="10" t="s">
        <v>279</v>
      </c>
      <c r="C40" s="19"/>
      <c r="D40" s="19"/>
      <c r="E40" s="19"/>
      <c r="F40" s="19"/>
      <c r="G40" s="11"/>
    </row>
    <row r="41" ht="18.0" customHeight="1">
      <c r="A41" s="8" t="s">
        <v>503</v>
      </c>
      <c r="B41" s="12" t="s">
        <v>504</v>
      </c>
      <c r="C41" s="19"/>
      <c r="D41" s="19"/>
      <c r="E41" s="19"/>
      <c r="F41" s="19"/>
      <c r="G41" s="11"/>
    </row>
    <row r="42" ht="18.0" customHeight="1">
      <c r="A42" s="8"/>
      <c r="B42" s="12" t="s">
        <v>298</v>
      </c>
      <c r="C42" s="19"/>
      <c r="D42" s="19"/>
      <c r="E42" s="19"/>
      <c r="F42" s="19"/>
      <c r="G42" s="11"/>
    </row>
    <row r="43" ht="18.0" customHeight="1">
      <c r="A43" s="8"/>
      <c r="B43" s="12" t="s">
        <v>505</v>
      </c>
      <c r="C43" s="19"/>
      <c r="D43" s="19"/>
      <c r="E43" s="19"/>
      <c r="F43" s="19"/>
      <c r="G43" s="11"/>
    </row>
    <row r="44" ht="18.0" customHeight="1">
      <c r="A44" s="8"/>
      <c r="B44" s="12" t="s">
        <v>506</v>
      </c>
      <c r="C44" s="19"/>
      <c r="D44" s="19"/>
      <c r="E44" s="19"/>
      <c r="F44" s="19"/>
      <c r="G44" s="11"/>
    </row>
    <row r="45" ht="18.0" customHeight="1">
      <c r="A45" s="8" t="s">
        <v>507</v>
      </c>
      <c r="B45" s="12" t="s">
        <v>508</v>
      </c>
      <c r="C45" s="19"/>
      <c r="D45" s="19"/>
      <c r="E45" s="19"/>
      <c r="F45" s="19"/>
      <c r="G45" s="11"/>
    </row>
    <row r="46" ht="18.0" customHeight="1">
      <c r="A46" s="8"/>
      <c r="B46" s="12" t="s">
        <v>288</v>
      </c>
      <c r="C46" s="19"/>
      <c r="D46" s="19"/>
      <c r="E46" s="19"/>
      <c r="F46" s="19"/>
      <c r="G46" s="11"/>
    </row>
    <row r="47" ht="18.0" customHeight="1">
      <c r="A47" s="8"/>
      <c r="B47" s="12" t="s">
        <v>509</v>
      </c>
      <c r="C47" s="19"/>
      <c r="D47" s="19"/>
      <c r="E47" s="19"/>
      <c r="F47" s="19"/>
      <c r="G47" s="11"/>
    </row>
    <row r="48" ht="18.0" customHeight="1">
      <c r="A48" s="8"/>
      <c r="B48" s="12" t="s">
        <v>510</v>
      </c>
      <c r="C48" s="19"/>
      <c r="D48" s="19"/>
      <c r="E48" s="19"/>
      <c r="F48" s="19"/>
      <c r="G48" s="11"/>
    </row>
    <row r="49" ht="18.0" customHeight="1">
      <c r="A49" s="8"/>
      <c r="B49" s="12" t="s">
        <v>511</v>
      </c>
      <c r="C49" s="19"/>
      <c r="D49" s="19"/>
      <c r="E49" s="19"/>
      <c r="F49" s="19"/>
      <c r="G49" s="11"/>
    </row>
    <row r="50" ht="18.0" customHeight="1">
      <c r="A50" s="8" t="s">
        <v>512</v>
      </c>
      <c r="B50" s="12" t="s">
        <v>513</v>
      </c>
      <c r="C50" s="19"/>
      <c r="D50" s="19"/>
      <c r="E50" s="19"/>
      <c r="F50" s="19"/>
      <c r="G50" s="11"/>
    </row>
    <row r="51" ht="18.0" customHeight="1">
      <c r="A51" s="8"/>
      <c r="B51" s="12" t="s">
        <v>293</v>
      </c>
      <c r="C51" s="19"/>
      <c r="D51" s="19"/>
      <c r="E51" s="19"/>
      <c r="F51" s="19"/>
      <c r="G51" s="11"/>
    </row>
    <row r="52" ht="18.0" customHeight="1">
      <c r="A52" s="8"/>
      <c r="B52" s="12" t="s">
        <v>514</v>
      </c>
      <c r="C52" s="19"/>
      <c r="D52" s="19"/>
      <c r="E52" s="19"/>
      <c r="F52" s="19"/>
      <c r="G52" s="11"/>
    </row>
    <row r="53" ht="18.0" customHeight="1">
      <c r="A53" s="8"/>
      <c r="B53" s="12" t="s">
        <v>515</v>
      </c>
      <c r="C53" s="19"/>
      <c r="D53" s="19"/>
      <c r="E53" s="19"/>
      <c r="F53" s="19"/>
      <c r="G53" s="11"/>
    </row>
    <row r="54" ht="15.75" customHeight="1"/>
    <row r="55" ht="18.0" customHeight="1">
      <c r="A55" s="6" t="s">
        <v>278</v>
      </c>
      <c r="B55" s="6" t="s">
        <v>516</v>
      </c>
      <c r="C55" s="6" t="s">
        <v>517</v>
      </c>
      <c r="D55" s="10" t="s">
        <v>518</v>
      </c>
      <c r="E55" s="11"/>
      <c r="F55" s="6" t="s">
        <v>519</v>
      </c>
      <c r="G55" s="6" t="s">
        <v>520</v>
      </c>
    </row>
    <row r="56" ht="61.5" customHeight="1">
      <c r="A56" s="8" t="s">
        <v>503</v>
      </c>
      <c r="B56" s="14">
        <v>3.0</v>
      </c>
      <c r="C56" s="17" t="s">
        <v>105</v>
      </c>
      <c r="D56" s="22" t="s">
        <v>521</v>
      </c>
      <c r="E56" s="11"/>
      <c r="F56" s="15" t="str">
        <f>IF(B56="","",IF(B56=3,"Đúng","Chưa đúng"))</f>
        <v>Đúng</v>
      </c>
      <c r="G56" s="15" t="str">
        <f>IF(C56="","",IF(C56="missing_lookup","Đúng","Chưa đúng"))</f>
        <v>Đúng</v>
      </c>
    </row>
    <row r="57" ht="61.5" customHeight="1">
      <c r="A57" s="8" t="s">
        <v>507</v>
      </c>
      <c r="B57" s="14">
        <v>2.0</v>
      </c>
      <c r="C57" s="17" t="s">
        <v>103</v>
      </c>
      <c r="D57" s="22" t="s">
        <v>522</v>
      </c>
      <c r="E57" s="11"/>
      <c r="F57" s="15" t="str">
        <f>IF(B57="","",IF(B57=2,"Đúng","Chưa đúng"))</f>
        <v>Đúng</v>
      </c>
      <c r="G57" s="15" t="str">
        <f>IF(C57="","",IF(C57="wrong_intent","Đúng","Chưa đúng"))</f>
        <v>Đúng</v>
      </c>
    </row>
    <row r="58" ht="61.5" customHeight="1">
      <c r="A58" s="8" t="s">
        <v>512</v>
      </c>
      <c r="B58" s="14">
        <v>4.0</v>
      </c>
      <c r="C58" s="17" t="s">
        <v>110</v>
      </c>
      <c r="D58" s="22" t="s">
        <v>523</v>
      </c>
      <c r="E58" s="11"/>
      <c r="F58" s="15" t="str">
        <f>IF(B58="","",IF(B58=4,"Đúng","Chưa đúng"))</f>
        <v>Đúng</v>
      </c>
      <c r="G58" s="15" t="str">
        <f>IF(C58="","",IF(C58="missing_escalation","Đúng","Chưa đúng"))</f>
        <v>Đúng</v>
      </c>
    </row>
    <row r="59" ht="15.75" customHeight="1"/>
    <row r="60" ht="18.0" customHeight="1">
      <c r="A60" s="23" t="s">
        <v>524</v>
      </c>
    </row>
    <row r="61" ht="18.0" customHeight="1">
      <c r="A61" s="4" t="s">
        <v>525</v>
      </c>
    </row>
    <row r="62" ht="18.0" customHeight="1">
      <c r="A62" s="6" t="s">
        <v>461</v>
      </c>
      <c r="B62" s="6" t="s">
        <v>526</v>
      </c>
      <c r="C62" s="6" t="s">
        <v>527</v>
      </c>
      <c r="D62" s="6" t="s">
        <v>528</v>
      </c>
      <c r="E62" s="6" t="s">
        <v>529</v>
      </c>
      <c r="F62" s="6" t="s">
        <v>530</v>
      </c>
      <c r="G62" s="6" t="s">
        <v>531</v>
      </c>
    </row>
    <row r="63" ht="78.0" customHeight="1">
      <c r="A63" s="8" t="s">
        <v>532</v>
      </c>
      <c r="B63" s="17" t="s">
        <v>533</v>
      </c>
      <c r="C63" s="17" t="s">
        <v>534</v>
      </c>
      <c r="D63" s="17" t="s">
        <v>535</v>
      </c>
      <c r="E63" s="17" t="s">
        <v>536</v>
      </c>
      <c r="F63" s="17" t="s">
        <v>359</v>
      </c>
      <c r="G63" s="16">
        <v>1.0</v>
      </c>
    </row>
    <row r="64" ht="78.0" customHeight="1">
      <c r="A64" s="8" t="s">
        <v>537</v>
      </c>
      <c r="B64" s="17" t="s">
        <v>77</v>
      </c>
      <c r="C64" s="17" t="s">
        <v>538</v>
      </c>
      <c r="D64" s="17" t="s">
        <v>539</v>
      </c>
      <c r="E64" s="17" t="s">
        <v>540</v>
      </c>
      <c r="F64" s="17" t="s">
        <v>359</v>
      </c>
      <c r="G64" s="17" t="s">
        <v>541</v>
      </c>
    </row>
    <row r="65" ht="78.0" customHeight="1">
      <c r="A65" s="8" t="s">
        <v>542</v>
      </c>
      <c r="B65" s="17" t="s">
        <v>342</v>
      </c>
      <c r="C65" s="17" t="s">
        <v>543</v>
      </c>
      <c r="D65" s="17" t="s">
        <v>544</v>
      </c>
      <c r="E65" s="17" t="s">
        <v>545</v>
      </c>
      <c r="F65" s="17" t="s">
        <v>371</v>
      </c>
      <c r="G65" s="17" t="s">
        <v>546</v>
      </c>
    </row>
    <row r="66" ht="78.0" customHeight="1">
      <c r="A66" s="8" t="s">
        <v>547</v>
      </c>
      <c r="B66" s="17" t="s">
        <v>548</v>
      </c>
      <c r="C66" s="17" t="s">
        <v>549</v>
      </c>
      <c r="D66" s="17" t="s">
        <v>550</v>
      </c>
      <c r="E66" s="17" t="s">
        <v>551</v>
      </c>
      <c r="F66" s="17" t="s">
        <v>359</v>
      </c>
      <c r="G66" s="17" t="s">
        <v>333</v>
      </c>
    </row>
    <row r="67" ht="33.0" customHeight="1">
      <c r="B67" s="8" t="s">
        <v>210</v>
      </c>
      <c r="C67" s="15"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9" t="s">
        <v>552</v>
      </c>
    </row>
    <row r="68" ht="15.75" customHeight="1"/>
    <row r="69" ht="18.0" customHeight="1">
      <c r="A69" s="23" t="s">
        <v>553</v>
      </c>
    </row>
    <row r="70" ht="18.0" customHeight="1">
      <c r="A70" s="4" t="s">
        <v>554</v>
      </c>
    </row>
    <row r="71" ht="18.0" customHeight="1">
      <c r="A71" s="6" t="s">
        <v>401</v>
      </c>
      <c r="B71" s="6" t="s">
        <v>555</v>
      </c>
      <c r="C71" s="6" t="s">
        <v>371</v>
      </c>
      <c r="D71" s="10" t="s">
        <v>556</v>
      </c>
      <c r="E71" s="11"/>
      <c r="F71" s="6" t="s">
        <v>557</v>
      </c>
      <c r="G71" s="6" t="s">
        <v>210</v>
      </c>
    </row>
    <row r="72" ht="31.5" customHeight="1">
      <c r="A72" s="7" t="s">
        <v>90</v>
      </c>
      <c r="B72" s="7" t="s">
        <v>403</v>
      </c>
      <c r="C72" s="7" t="s">
        <v>403</v>
      </c>
      <c r="D72" s="12" t="s">
        <v>558</v>
      </c>
      <c r="E72" s="11"/>
      <c r="F72" s="14">
        <v>12.0</v>
      </c>
      <c r="G72" s="15" t="str">
        <f>IF(F72="","",IF(F72=12,"Đúng","Chưa đúng"))</f>
        <v>Đúng</v>
      </c>
    </row>
    <row r="73" ht="31.5" customHeight="1">
      <c r="A73" s="7" t="s">
        <v>93</v>
      </c>
      <c r="B73" s="7" t="s">
        <v>403</v>
      </c>
      <c r="C73" s="7" t="s">
        <v>404</v>
      </c>
      <c r="D73" s="12" t="s">
        <v>559</v>
      </c>
      <c r="E73" s="11"/>
      <c r="F73" s="14">
        <v>2.0</v>
      </c>
      <c r="G73" s="15" t="str">
        <f>IF(F73="","",IF(F73=2,"Đúng","Chưa đúng"))</f>
        <v>Đúng</v>
      </c>
    </row>
    <row r="74" ht="31.5" customHeight="1">
      <c r="A74" s="7" t="s">
        <v>96</v>
      </c>
      <c r="B74" s="7" t="s">
        <v>403</v>
      </c>
      <c r="C74" s="7" t="s">
        <v>403</v>
      </c>
      <c r="D74" s="12" t="s">
        <v>560</v>
      </c>
      <c r="E74" s="11"/>
      <c r="F74" s="14">
        <v>0.0</v>
      </c>
      <c r="G74" s="15" t="str">
        <f>IF(F74="","",IF(F74=0,"Đúng","Chưa đúng"))</f>
        <v>Đúng</v>
      </c>
    </row>
    <row r="75" ht="31.5" customHeight="1">
      <c r="A75" s="7" t="s">
        <v>109</v>
      </c>
      <c r="B75" s="7" t="s">
        <v>404</v>
      </c>
      <c r="C75" s="7" t="s">
        <v>404</v>
      </c>
      <c r="D75" s="12" t="s">
        <v>561</v>
      </c>
      <c r="E75" s="11"/>
      <c r="F75" s="14">
        <v>6.0</v>
      </c>
      <c r="G75" s="15" t="str">
        <f>IF(F75="","",IF(F75=6,"Đúng","Chưa đúng"))</f>
        <v>Đúng</v>
      </c>
    </row>
    <row r="76" ht="18.0" customHeight="1">
      <c r="A76" s="7" t="s">
        <v>112</v>
      </c>
      <c r="B76" s="7" t="s">
        <v>403</v>
      </c>
      <c r="C76" s="7" t="s">
        <v>403</v>
      </c>
      <c r="D76" s="13" t="s">
        <v>562</v>
      </c>
      <c r="E76" s="11"/>
      <c r="F76" s="25">
        <f>IF(OR(F72="",F73=""),"",F72/(F72+F73))</f>
        <v>0.8571428571</v>
      </c>
      <c r="G76" s="15" t="str">
        <f t="shared" ref="G76:G77" si="1">IF(F76="","",IF(F76&gt;=0.9,"Đạt ngưỡng","Dưới ngưỡng"))</f>
        <v>Dưới ngưỡng</v>
      </c>
    </row>
    <row r="77" ht="18.0" customHeight="1">
      <c r="A77" s="7" t="s">
        <v>128</v>
      </c>
      <c r="B77" s="7" t="s">
        <v>403</v>
      </c>
      <c r="C77" s="7" t="s">
        <v>403</v>
      </c>
      <c r="D77" s="13" t="s">
        <v>563</v>
      </c>
      <c r="E77" s="11"/>
      <c r="F77" s="25">
        <f>IF(OR(F74="",F75=""),"",F75/(F74+F75))</f>
        <v>1</v>
      </c>
      <c r="G77" s="15" t="str">
        <f t="shared" si="1"/>
        <v>Đạt ngưỡng</v>
      </c>
    </row>
    <row r="78" ht="18.0" customHeight="1">
      <c r="A78" s="7" t="s">
        <v>131</v>
      </c>
      <c r="B78" s="7" t="s">
        <v>404</v>
      </c>
      <c r="C78" s="7" t="s">
        <v>404</v>
      </c>
      <c r="D78" s="12" t="s">
        <v>564</v>
      </c>
      <c r="E78" s="11"/>
      <c r="F78" s="26">
        <v>0.9</v>
      </c>
    </row>
    <row r="79" ht="18.0" customHeight="1">
      <c r="A79" s="7" t="s">
        <v>134</v>
      </c>
      <c r="B79" s="7" t="s">
        <v>403</v>
      </c>
      <c r="C79" s="7" t="s">
        <v>403</v>
      </c>
      <c r="D79" s="12" t="s">
        <v>565</v>
      </c>
      <c r="E79" s="11"/>
      <c r="F79" s="24">
        <f>SUM(F72:F75)</f>
        <v>20</v>
      </c>
    </row>
    <row r="80" ht="18.0" customHeight="1">
      <c r="A80" s="7" t="s">
        <v>137</v>
      </c>
      <c r="B80" s="7" t="s">
        <v>403</v>
      </c>
      <c r="C80" s="7" t="s">
        <v>403</v>
      </c>
    </row>
    <row r="81" ht="31.5" customHeight="1">
      <c r="A81" s="7" t="s">
        <v>140</v>
      </c>
      <c r="B81" s="7" t="s">
        <v>403</v>
      </c>
      <c r="C81" s="7" t="s">
        <v>404</v>
      </c>
      <c r="D81" s="12" t="s">
        <v>566</v>
      </c>
      <c r="E81" s="19"/>
      <c r="F81" s="19"/>
      <c r="G81" s="11"/>
    </row>
    <row r="82" ht="33.0" customHeight="1">
      <c r="A82" s="7" t="s">
        <v>143</v>
      </c>
      <c r="B82" s="7" t="s">
        <v>403</v>
      </c>
      <c r="C82" s="7" t="s">
        <v>403</v>
      </c>
      <c r="D82" s="12" t="s">
        <v>567</v>
      </c>
      <c r="E82" s="19"/>
      <c r="F82" s="19"/>
      <c r="G82" s="11"/>
    </row>
    <row r="83" ht="31.5" customHeight="1">
      <c r="A83" s="7" t="s">
        <v>146</v>
      </c>
      <c r="B83" s="7" t="s">
        <v>404</v>
      </c>
      <c r="C83" s="7" t="s">
        <v>404</v>
      </c>
      <c r="D83" s="12" t="s">
        <v>568</v>
      </c>
      <c r="E83" s="19"/>
      <c r="F83" s="19"/>
      <c r="G83" s="11"/>
    </row>
    <row r="84" ht="18.0" customHeight="1">
      <c r="A84" s="7" t="s">
        <v>149</v>
      </c>
      <c r="B84" s="7" t="s">
        <v>403</v>
      </c>
      <c r="C84" s="7" t="s">
        <v>403</v>
      </c>
      <c r="D84" s="13" t="s">
        <v>569</v>
      </c>
      <c r="E84" s="11"/>
      <c r="F84" s="17" t="s">
        <v>225</v>
      </c>
      <c r="G84" s="15" t="str">
        <f>IF(F84="","",IF(F84="B","Đúng","Chưa đúng"))</f>
        <v>Đúng</v>
      </c>
    </row>
    <row r="85" ht="18.0" customHeight="1">
      <c r="A85" s="7" t="s">
        <v>152</v>
      </c>
      <c r="B85" s="7" t="s">
        <v>403</v>
      </c>
      <c r="C85" s="7" t="s">
        <v>403</v>
      </c>
    </row>
    <row r="86" ht="18.0" customHeight="1">
      <c r="A86" s="7" t="s">
        <v>155</v>
      </c>
      <c r="B86" s="7" t="s">
        <v>404</v>
      </c>
      <c r="C86" s="7" t="s">
        <v>404</v>
      </c>
    </row>
    <row r="87" ht="18.0" customHeight="1">
      <c r="A87" s="7" t="s">
        <v>158</v>
      </c>
      <c r="B87" s="7" t="s">
        <v>403</v>
      </c>
      <c r="C87" s="7" t="s">
        <v>403</v>
      </c>
    </row>
    <row r="88" ht="18.0" customHeight="1">
      <c r="A88" s="7" t="s">
        <v>161</v>
      </c>
      <c r="B88" s="7" t="s">
        <v>404</v>
      </c>
      <c r="C88" s="7" t="s">
        <v>404</v>
      </c>
    </row>
    <row r="89" ht="18.0" customHeight="1">
      <c r="A89" s="7" t="s">
        <v>164</v>
      </c>
      <c r="B89" s="7" t="s">
        <v>403</v>
      </c>
      <c r="C89" s="7" t="s">
        <v>403</v>
      </c>
    </row>
    <row r="90" ht="18.0" customHeight="1">
      <c r="A90" s="7" t="s">
        <v>167</v>
      </c>
      <c r="B90" s="7" t="s">
        <v>404</v>
      </c>
      <c r="C90" s="7" t="s">
        <v>404</v>
      </c>
    </row>
    <row r="91" ht="18.0" customHeight="1">
      <c r="A91" s="7" t="s">
        <v>170</v>
      </c>
      <c r="B91" s="7" t="s">
        <v>403</v>
      </c>
      <c r="C91" s="7" t="s">
        <v>403</v>
      </c>
    </row>
    <row r="92" ht="15.75" customHeight="1"/>
    <row r="93" ht="15.75" customHeight="1"/>
    <row r="94" ht="18.0" customHeight="1">
      <c r="A94" s="23" t="s">
        <v>570</v>
      </c>
    </row>
    <row r="95" ht="18.0" customHeight="1">
      <c r="A95" s="4" t="s">
        <v>571</v>
      </c>
    </row>
    <row r="96" ht="18.0" customHeight="1">
      <c r="A96" s="10" t="s">
        <v>328</v>
      </c>
      <c r="B96" s="11"/>
      <c r="C96" s="6" t="s">
        <v>530</v>
      </c>
      <c r="D96" s="6" t="s">
        <v>531</v>
      </c>
      <c r="E96" s="6" t="s">
        <v>330</v>
      </c>
      <c r="F96" s="6" t="s">
        <v>331</v>
      </c>
    </row>
    <row r="97" ht="18.0" customHeight="1">
      <c r="A97" s="12" t="s">
        <v>332</v>
      </c>
      <c r="B97" s="11"/>
      <c r="C97" s="7" t="s">
        <v>359</v>
      </c>
      <c r="D97" s="7" t="s">
        <v>333</v>
      </c>
      <c r="E97" s="7" t="s">
        <v>334</v>
      </c>
      <c r="F97" s="7" t="s">
        <v>572</v>
      </c>
    </row>
    <row r="98" ht="18.0" customHeight="1">
      <c r="A98" s="12" t="s">
        <v>533</v>
      </c>
      <c r="B98" s="11"/>
      <c r="C98" s="7" t="s">
        <v>359</v>
      </c>
      <c r="D98" s="7" t="s">
        <v>573</v>
      </c>
      <c r="E98" s="7" t="s">
        <v>573</v>
      </c>
      <c r="F98" s="7" t="s">
        <v>573</v>
      </c>
    </row>
    <row r="99" ht="18.0" customHeight="1">
      <c r="A99" s="12" t="s">
        <v>77</v>
      </c>
      <c r="B99" s="11"/>
      <c r="C99" s="7" t="s">
        <v>359</v>
      </c>
      <c r="D99" s="7" t="s">
        <v>541</v>
      </c>
      <c r="E99" s="7" t="s">
        <v>574</v>
      </c>
      <c r="F99" s="7" t="s">
        <v>575</v>
      </c>
    </row>
    <row r="100" ht="18.0" customHeight="1">
      <c r="A100" s="12" t="s">
        <v>342</v>
      </c>
      <c r="B100" s="11"/>
      <c r="C100" s="7" t="s">
        <v>576</v>
      </c>
      <c r="D100" s="7" t="s">
        <v>546</v>
      </c>
      <c r="E100" s="7" t="s">
        <v>344</v>
      </c>
      <c r="F100" s="7" t="s">
        <v>577</v>
      </c>
    </row>
    <row r="101" ht="18.0" customHeight="1">
      <c r="A101" s="12" t="s">
        <v>548</v>
      </c>
      <c r="B101" s="11"/>
      <c r="C101" s="7" t="s">
        <v>578</v>
      </c>
      <c r="D101" s="7" t="s">
        <v>333</v>
      </c>
      <c r="E101" s="7" t="s">
        <v>579</v>
      </c>
      <c r="F101" s="7" t="s">
        <v>574</v>
      </c>
    </row>
    <row r="102" ht="18.0" customHeight="1">
      <c r="A102" s="12" t="s">
        <v>338</v>
      </c>
      <c r="B102" s="11"/>
      <c r="C102" s="7" t="s">
        <v>359</v>
      </c>
      <c r="D102" s="7" t="s">
        <v>339</v>
      </c>
      <c r="E102" s="7" t="s">
        <v>340</v>
      </c>
      <c r="F102" s="7" t="s">
        <v>580</v>
      </c>
    </row>
    <row r="103" ht="18.0" customHeight="1">
      <c r="A103" s="9" t="s">
        <v>581</v>
      </c>
    </row>
    <row r="104" ht="15.75" customHeight="1"/>
    <row r="105" ht="18.0" customHeight="1">
      <c r="A105" s="13" t="s">
        <v>582</v>
      </c>
      <c r="B105" s="11"/>
      <c r="C105" s="17" t="s">
        <v>583</v>
      </c>
      <c r="D105" s="15" t="str">
        <f>IF(C105="","",IF(C105="Phát hành","Đúng","Chưa đúng"))</f>
        <v>Đúng</v>
      </c>
    </row>
    <row r="106" ht="78.0" customHeight="1">
      <c r="A106" s="13" t="s">
        <v>584</v>
      </c>
      <c r="B106" s="11"/>
      <c r="C106" s="27"/>
      <c r="D106" s="19"/>
      <c r="E106" s="19"/>
      <c r="F106" s="19"/>
      <c r="G106" s="11"/>
    </row>
    <row r="107" ht="18.0" customHeight="1">
      <c r="C107" s="28" t="s">
        <v>585</v>
      </c>
    </row>
    <row r="108" ht="15.75" customHeight="1"/>
    <row r="109" ht="18.0" customHeight="1">
      <c r="A109" s="4" t="s">
        <v>586</v>
      </c>
    </row>
    <row r="110" ht="18.0" customHeight="1">
      <c r="A110" s="13" t="s">
        <v>587</v>
      </c>
      <c r="B110" s="11"/>
      <c r="C110" s="16">
        <v>0.75</v>
      </c>
      <c r="D110" s="15" t="str">
        <f>IF(C110="","",IF(ISNUMBER(C110),IF(OR(ABS(C110-0.75)&lt;=0.006,ABS(C110-75)&lt;=0.6),"Đúng","Chưa đúng"),"Gõ một số"))</f>
        <v>Đúng</v>
      </c>
    </row>
    <row r="111" ht="18.0" customHeight="1">
      <c r="A111" s="13" t="s">
        <v>588</v>
      </c>
      <c r="B111" s="11"/>
      <c r="C111" s="14">
        <v>50.0</v>
      </c>
      <c r="D111" s="15" t="str">
        <f>IF(C111="","",IF(ISNUMBER(C111),IF(ABS(C111-50)&lt;=0.01,"Đúng","Chưa đúng"),"Gõ một số"))</f>
        <v>Đúng</v>
      </c>
    </row>
    <row r="112" ht="33.0" customHeight="1">
      <c r="A112" s="13" t="s">
        <v>589</v>
      </c>
      <c r="B112" s="11"/>
      <c r="C112" s="16">
        <v>0.84</v>
      </c>
      <c r="D112" s="15" t="str">
        <f>IF(C112="","",IF(ISNUMBER(C112),IF(OR(ABS(C112-0.84)&lt;=0.006,ABS(C112-84)&lt;=0.6),"Đúng","Chưa đúng"),"Gõ một số"))</f>
        <v>Đúng</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9:E79"/>
    <mergeCell ref="D81:G81"/>
    <mergeCell ref="D82:G82"/>
    <mergeCell ref="D83:G83"/>
    <mergeCell ref="D84:E84"/>
    <mergeCell ref="A94:G94"/>
    <mergeCell ref="A95:G95"/>
    <mergeCell ref="A102:B102"/>
    <mergeCell ref="A105:B105"/>
    <mergeCell ref="A106:B106"/>
    <mergeCell ref="C106:G106"/>
    <mergeCell ref="C107:G107"/>
    <mergeCell ref="A109:G109"/>
    <mergeCell ref="A110:B110"/>
    <mergeCell ref="A111:B111"/>
    <mergeCell ref="A112:B112"/>
    <mergeCell ref="A96:B96"/>
    <mergeCell ref="A97:B97"/>
    <mergeCell ref="A98:B98"/>
    <mergeCell ref="A99:B99"/>
    <mergeCell ref="A100:B100"/>
    <mergeCell ref="A101:B101"/>
    <mergeCell ref="A103:G103"/>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D72:E72"/>
    <mergeCell ref="D73:E73"/>
    <mergeCell ref="D74:E74"/>
    <mergeCell ref="D75:E75"/>
    <mergeCell ref="D76:E76"/>
    <mergeCell ref="D77:E77"/>
    <mergeCell ref="D78:E78"/>
  </mergeCells>
  <dataValidations>
    <dataValidation type="list" allowBlank="1" sqref="F84">
      <formula1>'_ds'!$B$1:$B$3</formula1>
    </dataValidation>
    <dataValidation type="list" allowBlank="1" sqref="C105">
      <formula1>'_ds'!$J$1:$J$3</formula1>
    </dataValidation>
    <dataValidation type="list" allowBlank="1" sqref="E25:E32">
      <formula1>'_ds'!$E$1:$E$3</formula1>
    </dataValidation>
    <dataValidation type="list" allowBlank="1" sqref="F63:F66">
      <formula1>'_ds'!$N$1:$N$4</formula1>
    </dataValidation>
    <dataValidation type="list" allowBlank="1" sqref="C56:C58">
      <formula1>'_ds'!$F$1:$F$5</formula1>
    </dataValidation>
  </dataValidations>
  <printOptions/>
  <pageMargins bottom="1.0" footer="0.0" header="0.0" left="0.75" right="0.75" top="1.0"/>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0"/>
    <col customWidth="1" min="2" max="2" width="9.0"/>
    <col customWidth="1" min="3" max="3" width="44.0"/>
    <col customWidth="1" min="4" max="4" width="38.0"/>
    <col customWidth="1" min="5" max="5" width="34.0"/>
    <col customWidth="1" min="6" max="6" width="12.0"/>
    <col customWidth="1" min="7" max="26" width="8.71"/>
  </cols>
  <sheetData>
    <row r="1">
      <c r="A1" s="1" t="s">
        <v>590</v>
      </c>
    </row>
    <row r="2" ht="18.0" customHeight="1">
      <c r="A2" s="2" t="s">
        <v>591</v>
      </c>
    </row>
    <row r="4" ht="18.0" customHeight="1">
      <c r="A4" s="6" t="s">
        <v>592</v>
      </c>
      <c r="B4" s="6" t="s">
        <v>593</v>
      </c>
      <c r="C4" s="6" t="s">
        <v>594</v>
      </c>
      <c r="D4" s="6" t="s">
        <v>595</v>
      </c>
      <c r="E4" s="6" t="s">
        <v>596</v>
      </c>
      <c r="F4" s="6" t="s">
        <v>597</v>
      </c>
    </row>
    <row r="5" ht="33.0" customHeight="1">
      <c r="A5" s="8" t="s">
        <v>598</v>
      </c>
      <c r="B5" s="29">
        <v>1.0</v>
      </c>
      <c r="C5" s="7" t="s">
        <v>599</v>
      </c>
      <c r="D5" s="7" t="s">
        <v>600</v>
      </c>
      <c r="E5" s="7" t="s">
        <v>601</v>
      </c>
      <c r="F5" s="30"/>
    </row>
    <row r="6" ht="33.0" customHeight="1">
      <c r="A6" s="8" t="s">
        <v>602</v>
      </c>
      <c r="B6" s="29">
        <v>1.0</v>
      </c>
      <c r="C6" s="7" t="s">
        <v>603</v>
      </c>
      <c r="D6" s="7" t="s">
        <v>604</v>
      </c>
      <c r="E6" s="7" t="s">
        <v>605</v>
      </c>
      <c r="F6" s="30"/>
    </row>
    <row r="7" ht="33.0" customHeight="1">
      <c r="A7" s="8" t="s">
        <v>606</v>
      </c>
      <c r="B7" s="29">
        <v>2.0</v>
      </c>
      <c r="C7" s="7" t="s">
        <v>607</v>
      </c>
      <c r="D7" s="7" t="s">
        <v>608</v>
      </c>
      <c r="E7" s="7" t="s">
        <v>609</v>
      </c>
      <c r="F7" s="30"/>
    </row>
    <row r="8" ht="33.0" customHeight="1">
      <c r="A8" s="8" t="s">
        <v>610</v>
      </c>
      <c r="B8" s="29">
        <v>1.5</v>
      </c>
      <c r="C8" s="7" t="s">
        <v>611</v>
      </c>
      <c r="D8" s="7" t="s">
        <v>612</v>
      </c>
      <c r="E8" s="7" t="s">
        <v>613</v>
      </c>
      <c r="F8" s="30"/>
    </row>
    <row r="9" ht="48.0" customHeight="1">
      <c r="A9" s="8" t="s">
        <v>614</v>
      </c>
      <c r="B9" s="29">
        <v>2.0</v>
      </c>
      <c r="C9" s="7" t="s">
        <v>615</v>
      </c>
      <c r="D9" s="7" t="s">
        <v>616</v>
      </c>
      <c r="E9" s="7" t="s">
        <v>617</v>
      </c>
      <c r="F9" s="30"/>
    </row>
    <row r="10" ht="33.0" customHeight="1">
      <c r="A10" s="8" t="s">
        <v>618</v>
      </c>
      <c r="B10" s="29">
        <v>1.0</v>
      </c>
      <c r="C10" s="7" t="s">
        <v>619</v>
      </c>
      <c r="D10" s="7" t="s">
        <v>620</v>
      </c>
      <c r="E10" s="7" t="s">
        <v>621</v>
      </c>
      <c r="F10" s="30"/>
    </row>
    <row r="11" ht="48.0" customHeight="1">
      <c r="A11" s="8" t="s">
        <v>622</v>
      </c>
      <c r="B11" s="29">
        <v>1.5</v>
      </c>
      <c r="C11" s="7" t="s">
        <v>623</v>
      </c>
      <c r="D11" s="7" t="s">
        <v>624</v>
      </c>
      <c r="E11" s="7" t="s">
        <v>625</v>
      </c>
      <c r="F11" s="30"/>
    </row>
    <row r="12" ht="18.0" customHeight="1">
      <c r="A12" s="8" t="s">
        <v>203</v>
      </c>
      <c r="B12" s="31">
        <f>SUM(B5:B11)</f>
        <v>10</v>
      </c>
      <c r="F12" s="32" t="str">
        <f>IF(COUNT(F5:F11)=0,"",SUM(F5:F11))</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1.0" footer="0.0" header="0.0" left="0.75" right="0.75" top="1.0"/>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52.0"/>
    <col customWidth="1" min="3" max="3" width="14.0"/>
    <col customWidth="1" min="4" max="4" width="12.0"/>
    <col customWidth="1" min="5" max="26" width="8.71"/>
  </cols>
  <sheetData>
    <row r="1">
      <c r="A1" s="1" t="s">
        <v>626</v>
      </c>
    </row>
    <row r="3" ht="18.0" customHeight="1">
      <c r="A3" s="6" t="s">
        <v>627</v>
      </c>
      <c r="B3" s="6" t="s">
        <v>12</v>
      </c>
      <c r="C3" s="6" t="s">
        <v>234</v>
      </c>
      <c r="D3" s="6" t="s">
        <v>628</v>
      </c>
    </row>
    <row r="4" ht="18.0" customHeight="1">
      <c r="A4" s="8" t="s">
        <v>23</v>
      </c>
      <c r="B4" s="7" t="s">
        <v>24</v>
      </c>
      <c r="C4" s="24">
        <f>'Bài 1'!C29</f>
        <v>9</v>
      </c>
      <c r="D4" s="33">
        <v>9.0</v>
      </c>
    </row>
    <row r="5" ht="18.0" customHeight="1">
      <c r="A5" s="8" t="s">
        <v>29</v>
      </c>
      <c r="B5" s="7" t="s">
        <v>30</v>
      </c>
      <c r="C5" s="24">
        <f>'Bài 2'!C25</f>
        <v>14</v>
      </c>
      <c r="D5" s="33">
        <v>14.0</v>
      </c>
    </row>
    <row r="6" ht="18.0" customHeight="1">
      <c r="A6" s="8" t="s">
        <v>38</v>
      </c>
      <c r="B6" s="7" t="s">
        <v>39</v>
      </c>
      <c r="C6" s="24">
        <f>'Bài 3'!C39</f>
        <v>9</v>
      </c>
      <c r="D6" s="33">
        <v>9.0</v>
      </c>
    </row>
    <row r="7" ht="18.0" customHeight="1">
      <c r="A7" s="8" t="s">
        <v>43</v>
      </c>
      <c r="B7" s="7" t="s">
        <v>44</v>
      </c>
      <c r="C7" s="24">
        <f>'Bài 4'!C33</f>
        <v>15</v>
      </c>
      <c r="D7" s="33">
        <v>15.0</v>
      </c>
    </row>
    <row r="8" ht="18.0" customHeight="1">
      <c r="A8" s="8" t="s">
        <v>49</v>
      </c>
      <c r="B8" s="7" t="s">
        <v>50</v>
      </c>
      <c r="C8" s="24">
        <f>'Bài 5'!C44</f>
        <v>18</v>
      </c>
      <c r="D8" s="33">
        <v>18.0</v>
      </c>
    </row>
    <row r="10" ht="18.0" customHeight="1">
      <c r="A10" s="23" t="s">
        <v>629</v>
      </c>
    </row>
    <row r="11" ht="18.0" customHeight="1">
      <c r="A11" s="8" t="s">
        <v>598</v>
      </c>
      <c r="B11" s="7" t="s">
        <v>630</v>
      </c>
      <c r="C11" s="15" t="str">
        <f>'Xưởng'!G7</f>
        <v>Đạt</v>
      </c>
    </row>
    <row r="12" ht="18.0" customHeight="1">
      <c r="A12" s="8" t="s">
        <v>602</v>
      </c>
      <c r="B12" s="7" t="s">
        <v>631</v>
      </c>
      <c r="C12" s="15" t="str">
        <f>'Xưởng'!D20</f>
        <v>Đạt</v>
      </c>
    </row>
    <row r="13" ht="18.0" customHeight="1">
      <c r="A13" s="8" t="s">
        <v>606</v>
      </c>
      <c r="B13" s="7" t="s">
        <v>632</v>
      </c>
      <c r="C13" s="15" t="str">
        <f>'Xưởng'!C36</f>
        <v>Đạt</v>
      </c>
    </row>
    <row r="14" ht="18.0" customHeight="1">
      <c r="A14" s="8" t="s">
        <v>610</v>
      </c>
      <c r="B14" s="7" t="s">
        <v>633</v>
      </c>
      <c r="C14" s="24">
        <f>COUNTIF('Xưởng'!F56:G58,"Đúng")</f>
        <v>6</v>
      </c>
      <c r="D14" s="7" t="s">
        <v>634</v>
      </c>
    </row>
    <row r="15" ht="18.0" customHeight="1">
      <c r="A15" s="8" t="s">
        <v>614</v>
      </c>
      <c r="B15" s="7" t="s">
        <v>635</v>
      </c>
      <c r="C15" s="15" t="str">
        <f>'Xưởng'!C67</f>
        <v>Đạt</v>
      </c>
    </row>
    <row r="16" ht="18.0" customHeight="1">
      <c r="A16" s="8" t="s">
        <v>618</v>
      </c>
      <c r="B16" s="7" t="s">
        <v>636</v>
      </c>
      <c r="C16" s="24">
        <f>COUNTIF('Xưởng'!G72:G84,"Đúng")</f>
        <v>5</v>
      </c>
      <c r="D16" s="7" t="s">
        <v>637</v>
      </c>
    </row>
    <row r="17" ht="18.0" customHeight="1">
      <c r="A17" s="8" t="s">
        <v>622</v>
      </c>
      <c r="B17" s="7" t="s">
        <v>638</v>
      </c>
      <c r="C17" s="24">
        <f>COUNTIF('Xưởng'!D105:D112,"Đúng")</f>
        <v>4</v>
      </c>
      <c r="D17" s="7" t="s">
        <v>639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D10"/>
  </mergeCells>
  <printOptions/>
  <pageMargins bottom="1.0" footer="0.0" header="0.0" left="0.75" right="0.75" top="1.0"/>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8.71"/>
  </cols>
  <sheetData>
    <row r="1">
      <c r="A1" s="34" t="s">
        <v>218</v>
      </c>
      <c r="B1" s="34" t="s">
        <v>322</v>
      </c>
      <c r="C1" s="34" t="s">
        <v>640</v>
      </c>
      <c r="D1" s="34" t="s">
        <v>641</v>
      </c>
      <c r="E1" s="34" t="s">
        <v>262</v>
      </c>
      <c r="F1" s="34" t="s">
        <v>103</v>
      </c>
      <c r="G1" s="34" t="s">
        <v>349</v>
      </c>
      <c r="H1" s="34" t="s">
        <v>359</v>
      </c>
      <c r="I1" s="34" t="s">
        <v>378</v>
      </c>
      <c r="J1" s="34" t="s">
        <v>583</v>
      </c>
      <c r="K1" s="34" t="s">
        <v>395</v>
      </c>
      <c r="L1" s="34" t="s">
        <v>430</v>
      </c>
      <c r="M1" s="34" t="s">
        <v>448</v>
      </c>
      <c r="N1" s="34" t="s">
        <v>359</v>
      </c>
    </row>
    <row r="2">
      <c r="A2" s="34" t="s">
        <v>242</v>
      </c>
      <c r="B2" s="34" t="s">
        <v>225</v>
      </c>
      <c r="C2" s="34" t="s">
        <v>228</v>
      </c>
      <c r="D2" s="34" t="s">
        <v>233</v>
      </c>
      <c r="E2" s="34" t="s">
        <v>266</v>
      </c>
      <c r="F2" s="34" t="s">
        <v>105</v>
      </c>
      <c r="G2" s="34" t="s">
        <v>353</v>
      </c>
      <c r="H2" s="34" t="s">
        <v>371</v>
      </c>
      <c r="I2" s="34" t="s">
        <v>382</v>
      </c>
      <c r="J2" s="34" t="s">
        <v>391</v>
      </c>
      <c r="K2" s="34" t="s">
        <v>642</v>
      </c>
      <c r="L2" s="34" t="s">
        <v>643</v>
      </c>
      <c r="M2" s="34" t="s">
        <v>440</v>
      </c>
      <c r="N2" s="34" t="s">
        <v>371</v>
      </c>
    </row>
    <row r="3">
      <c r="B3" s="34" t="s">
        <v>644</v>
      </c>
      <c r="C3" s="34" t="s">
        <v>645</v>
      </c>
      <c r="D3" s="34" t="s">
        <v>646</v>
      </c>
      <c r="E3" s="34" t="s">
        <v>271</v>
      </c>
      <c r="F3" s="34" t="s">
        <v>107</v>
      </c>
      <c r="G3" s="34" t="s">
        <v>356</v>
      </c>
      <c r="H3" s="34" t="s">
        <v>374</v>
      </c>
      <c r="I3" s="34" t="s">
        <v>385</v>
      </c>
      <c r="J3" s="34" t="s">
        <v>647</v>
      </c>
      <c r="K3" s="34" t="s">
        <v>648</v>
      </c>
      <c r="N3" s="34" t="s">
        <v>374</v>
      </c>
    </row>
    <row r="4">
      <c r="F4" s="34" t="s">
        <v>110</v>
      </c>
      <c r="N4" s="34" t="s">
        <v>649</v>
      </c>
    </row>
    <row r="5">
      <c r="F5" s="34" t="s">
        <v>113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